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FILE P AWI\LOG LIST PROD KALTENG\PRODUKSI KALTENG\"/>
    </mc:Choice>
  </mc:AlternateContent>
  <xr:revisionPtr revIDLastSave="0" documentId="13_ncr:1_{C5295FA9-419E-4405-9B2C-CA57184565E4}" xr6:coauthVersionLast="47" xr6:coauthVersionMax="47" xr10:uidLastSave="{00000000-0000-0000-0000-000000000000}"/>
  <bookViews>
    <workbookView xWindow="-120" yWindow="-120" windowWidth="20730" windowHeight="11160" xr2:uid="{2F26678D-B10D-44A0-94F6-75977F011BD2}"/>
  </bookViews>
  <sheets>
    <sheet name="DATA MUAT" sheetId="1" r:id="rId1"/>
    <sheet name="Sheet 2" sheetId="2" r:id="rId2"/>
    <sheet name="Sheet1" sheetId="3" r:id="rId3"/>
    <sheet name="REKAP MUAT" sheetId="4" r:id="rId4"/>
  </sheets>
  <definedNames>
    <definedName name="_xlnm._FilterDatabase" localSheetId="0" hidden="1">'DATA MUAT'!$BV$215:$BZ$247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L291" i="1" l="1"/>
  <c r="DK291" i="1"/>
  <c r="DL296" i="1"/>
  <c r="DK296" i="1"/>
  <c r="DL295" i="1"/>
  <c r="DK295" i="1"/>
  <c r="DK288" i="1"/>
  <c r="DL288" i="1"/>
  <c r="DJ288" i="1"/>
  <c r="DI288" i="1"/>
  <c r="DH293" i="1" s="1"/>
  <c r="DL287" i="1"/>
  <c r="DK287" i="1"/>
  <c r="DH291" i="1"/>
  <c r="DL297" i="1"/>
  <c r="DK297" i="1"/>
  <c r="DJ286" i="1"/>
  <c r="DJ287" i="1"/>
  <c r="DJ282" i="1"/>
  <c r="DJ283" i="1"/>
  <c r="DJ285" i="1"/>
  <c r="DJ281" i="1"/>
  <c r="DJ280" i="1"/>
  <c r="DK284" i="1"/>
  <c r="DJ284" i="1"/>
  <c r="DJ279" i="1"/>
  <c r="DJ278" i="1"/>
  <c r="DJ277" i="1"/>
  <c r="DJ276" i="1"/>
  <c r="DJ275" i="1"/>
  <c r="DJ274" i="1"/>
  <c r="DJ273" i="1"/>
  <c r="DJ272" i="1"/>
  <c r="DJ271" i="1"/>
  <c r="DJ270" i="1"/>
  <c r="DJ269" i="1"/>
  <c r="DJ268" i="1"/>
  <c r="DJ267" i="1"/>
  <c r="DJ266" i="1"/>
  <c r="DJ265" i="1"/>
  <c r="DJ264" i="1"/>
  <c r="DJ263" i="1"/>
  <c r="DJ262" i="1"/>
  <c r="DJ261" i="1"/>
  <c r="DJ260" i="1"/>
  <c r="DJ259" i="1"/>
  <c r="DJ258" i="1"/>
  <c r="DJ257" i="1"/>
  <c r="DJ256" i="1"/>
  <c r="DK246" i="1"/>
  <c r="DK247" i="1" s="1"/>
  <c r="DI247" i="1"/>
  <c r="DH292" i="1" s="1"/>
  <c r="DJ246" i="1"/>
  <c r="DJ245" i="1"/>
  <c r="DJ244" i="1"/>
  <c r="DJ243" i="1"/>
  <c r="DJ242" i="1"/>
  <c r="DJ241" i="1"/>
  <c r="DJ240" i="1"/>
  <c r="DJ239" i="1"/>
  <c r="DJ238" i="1"/>
  <c r="DJ237" i="1"/>
  <c r="DJ236" i="1"/>
  <c r="DJ235" i="1"/>
  <c r="DJ234" i="1"/>
  <c r="DJ233" i="1"/>
  <c r="DJ232" i="1"/>
  <c r="DJ231" i="1"/>
  <c r="DJ230" i="1"/>
  <c r="DJ229" i="1"/>
  <c r="DJ228" i="1"/>
  <c r="DJ227" i="1"/>
  <c r="DJ226" i="1"/>
  <c r="DJ225" i="1"/>
  <c r="DJ224" i="1"/>
  <c r="DJ223" i="1"/>
  <c r="DJ222" i="1"/>
  <c r="DK210" i="1"/>
  <c r="DK213" i="1" s="1"/>
  <c r="DK212" i="1"/>
  <c r="DI213" i="1"/>
  <c r="DJ178" i="1"/>
  <c r="DJ179" i="1"/>
  <c r="DJ180" i="1"/>
  <c r="DJ181" i="1"/>
  <c r="DJ182" i="1"/>
  <c r="DJ183" i="1"/>
  <c r="DJ184" i="1"/>
  <c r="DJ185" i="1"/>
  <c r="DJ186" i="1"/>
  <c r="DJ187" i="1"/>
  <c r="DJ188" i="1"/>
  <c r="DJ189" i="1"/>
  <c r="DJ190" i="1"/>
  <c r="DJ191" i="1"/>
  <c r="DJ192" i="1"/>
  <c r="DJ193" i="1"/>
  <c r="DJ194" i="1"/>
  <c r="DJ195" i="1"/>
  <c r="DJ196" i="1"/>
  <c r="DJ197" i="1"/>
  <c r="DJ198" i="1"/>
  <c r="DJ199" i="1"/>
  <c r="DJ200" i="1"/>
  <c r="DJ201" i="1"/>
  <c r="DJ202" i="1"/>
  <c r="DJ203" i="1"/>
  <c r="DJ204" i="1"/>
  <c r="DJ205" i="1"/>
  <c r="DJ206" i="1"/>
  <c r="DJ207" i="1"/>
  <c r="DJ208" i="1"/>
  <c r="DJ209" i="1"/>
  <c r="DJ210" i="1"/>
  <c r="DJ211" i="1"/>
  <c r="DL212" i="1" s="1"/>
  <c r="DJ212" i="1"/>
  <c r="DJ177" i="1"/>
  <c r="DJ139" i="1"/>
  <c r="DJ138" i="1"/>
  <c r="DJ137" i="1"/>
  <c r="DJ136" i="1"/>
  <c r="DJ135" i="1"/>
  <c r="DJ134" i="1"/>
  <c r="DJ133" i="1"/>
  <c r="DJ132" i="1"/>
  <c r="DJ131" i="1"/>
  <c r="DJ130" i="1"/>
  <c r="DJ129" i="1"/>
  <c r="DJ128" i="1"/>
  <c r="DJ127" i="1"/>
  <c r="DJ153" i="1"/>
  <c r="DJ154" i="1"/>
  <c r="DI156" i="1"/>
  <c r="DH161" i="1" s="1"/>
  <c r="DK155" i="1"/>
  <c r="DJ155" i="1"/>
  <c r="DJ152" i="1"/>
  <c r="DK151" i="1"/>
  <c r="DJ151" i="1"/>
  <c r="DJ150" i="1"/>
  <c r="DJ149" i="1"/>
  <c r="DJ148" i="1"/>
  <c r="DJ147" i="1"/>
  <c r="DJ146" i="1"/>
  <c r="DJ145" i="1"/>
  <c r="DJ144" i="1"/>
  <c r="DJ143" i="1"/>
  <c r="DJ142" i="1"/>
  <c r="DJ141" i="1"/>
  <c r="DJ140" i="1"/>
  <c r="DJ126" i="1"/>
  <c r="DJ125" i="1"/>
  <c r="DJ124" i="1"/>
  <c r="DJ123" i="1"/>
  <c r="DJ122" i="1"/>
  <c r="DJ121" i="1"/>
  <c r="DJ120" i="1"/>
  <c r="DJ119" i="1"/>
  <c r="DJ118" i="1"/>
  <c r="DJ117" i="1"/>
  <c r="DI108" i="1"/>
  <c r="DH160" i="1" s="1"/>
  <c r="DK104" i="1"/>
  <c r="DJ91" i="1"/>
  <c r="DJ90" i="1"/>
  <c r="DJ89" i="1"/>
  <c r="DJ88" i="1"/>
  <c r="DJ87" i="1"/>
  <c r="DJ86" i="1"/>
  <c r="DJ85" i="1"/>
  <c r="DJ84" i="1"/>
  <c r="DJ83" i="1"/>
  <c r="DJ82" i="1"/>
  <c r="DJ81" i="1"/>
  <c r="DJ80" i="1"/>
  <c r="DJ79" i="1"/>
  <c r="DJ78" i="1"/>
  <c r="DJ77" i="1"/>
  <c r="DK76" i="1"/>
  <c r="DK165" i="1" s="1"/>
  <c r="DK107" i="1"/>
  <c r="DJ107" i="1"/>
  <c r="DJ106" i="1"/>
  <c r="DJ105" i="1"/>
  <c r="DJ104" i="1"/>
  <c r="DJ103" i="1"/>
  <c r="DJ102" i="1"/>
  <c r="DJ101" i="1"/>
  <c r="DJ100" i="1"/>
  <c r="DJ99" i="1"/>
  <c r="DJ98" i="1"/>
  <c r="DJ97" i="1"/>
  <c r="DJ96" i="1"/>
  <c r="DJ95" i="1"/>
  <c r="DJ94" i="1"/>
  <c r="DJ93" i="1"/>
  <c r="DJ92" i="1"/>
  <c r="DJ76" i="1"/>
  <c r="DJ75" i="1"/>
  <c r="DJ74" i="1"/>
  <c r="DJ73" i="1"/>
  <c r="DJ72" i="1"/>
  <c r="DJ71" i="1"/>
  <c r="DJ70" i="1"/>
  <c r="DJ69" i="1"/>
  <c r="DJ68" i="1"/>
  <c r="DJ67" i="1"/>
  <c r="DJ66" i="1"/>
  <c r="DJ65" i="1"/>
  <c r="DJ64" i="1"/>
  <c r="DJ63" i="1"/>
  <c r="DJ62" i="1"/>
  <c r="DJ61" i="1"/>
  <c r="DJ60" i="1"/>
  <c r="DJ59" i="1"/>
  <c r="DJ58" i="1"/>
  <c r="DK45" i="1"/>
  <c r="DK48" i="1"/>
  <c r="DI49" i="1"/>
  <c r="DH159" i="1" s="1"/>
  <c r="DJ48" i="1"/>
  <c r="DJ47" i="1"/>
  <c r="DJ45" i="1"/>
  <c r="DJ44" i="1"/>
  <c r="DJ43" i="1"/>
  <c r="DJ42" i="1"/>
  <c r="DJ41" i="1"/>
  <c r="DJ40" i="1"/>
  <c r="DJ39" i="1"/>
  <c r="DJ38" i="1"/>
  <c r="DJ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46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CZ288" i="1"/>
  <c r="CY293" i="1" s="1"/>
  <c r="DB287" i="1"/>
  <c r="DA254" i="1"/>
  <c r="DA255" i="1"/>
  <c r="DA256" i="1"/>
  <c r="DA257" i="1"/>
  <c r="DA258" i="1"/>
  <c r="DA259" i="1"/>
  <c r="DA260" i="1"/>
  <c r="DA261" i="1"/>
  <c r="DA262" i="1"/>
  <c r="DA263" i="1"/>
  <c r="DA264" i="1"/>
  <c r="DA265" i="1"/>
  <c r="DA266" i="1"/>
  <c r="DA267" i="1"/>
  <c r="DB283" i="1"/>
  <c r="DA283" i="1"/>
  <c r="DA282" i="1"/>
  <c r="DA281" i="1"/>
  <c r="DA280" i="1"/>
  <c r="DA279" i="1"/>
  <c r="DA278" i="1"/>
  <c r="DA277" i="1"/>
  <c r="DA276" i="1"/>
  <c r="DA275" i="1"/>
  <c r="DA274" i="1"/>
  <c r="DA273" i="1"/>
  <c r="DA287" i="1"/>
  <c r="DA286" i="1"/>
  <c r="DA285" i="1"/>
  <c r="DA284" i="1"/>
  <c r="DA272" i="1"/>
  <c r="DA271" i="1"/>
  <c r="DA270" i="1"/>
  <c r="DA269" i="1"/>
  <c r="DA268" i="1"/>
  <c r="DA253" i="1"/>
  <c r="DA252" i="1"/>
  <c r="DA251" i="1"/>
  <c r="CS338" i="1"/>
  <c r="DH294" i="1" l="1"/>
  <c r="DK293" i="1" s="1"/>
  <c r="DK299" i="1"/>
  <c r="DL246" i="1"/>
  <c r="DL284" i="1"/>
  <c r="DI293" i="1"/>
  <c r="DL210" i="1"/>
  <c r="DK164" i="1"/>
  <c r="DK163" i="1"/>
  <c r="DL247" i="1"/>
  <c r="DJ247" i="1"/>
  <c r="DI292" i="1" s="1"/>
  <c r="DH162" i="1"/>
  <c r="DK167" i="1"/>
  <c r="DK160" i="1"/>
  <c r="DL213" i="1"/>
  <c r="DJ213" i="1"/>
  <c r="DI291" i="1" s="1"/>
  <c r="DK156" i="1"/>
  <c r="DL104" i="1"/>
  <c r="DL151" i="1"/>
  <c r="DL155" i="1"/>
  <c r="DJ156" i="1"/>
  <c r="DI161" i="1" s="1"/>
  <c r="DL48" i="1"/>
  <c r="DL76" i="1"/>
  <c r="DK49" i="1"/>
  <c r="DK108" i="1"/>
  <c r="DJ108" i="1"/>
  <c r="DI160" i="1" s="1"/>
  <c r="DL45" i="1"/>
  <c r="DL107" i="1"/>
  <c r="DC287" i="1"/>
  <c r="DB288" i="1"/>
  <c r="DA288" i="1"/>
  <c r="CZ293" i="1" s="1"/>
  <c r="DJ49" i="1"/>
  <c r="DI159" i="1" s="1"/>
  <c r="DC283" i="1"/>
  <c r="DA240" i="1"/>
  <c r="DA239" i="1"/>
  <c r="DA234" i="1"/>
  <c r="DA233" i="1"/>
  <c r="DA232" i="1"/>
  <c r="DA231" i="1"/>
  <c r="DA230" i="1"/>
  <c r="CZ242" i="1"/>
  <c r="CY292" i="1" s="1"/>
  <c r="DB241" i="1"/>
  <c r="DA241" i="1"/>
  <c r="DA238" i="1"/>
  <c r="DA237" i="1"/>
  <c r="DA236" i="1"/>
  <c r="DB235" i="1"/>
  <c r="DA235" i="1"/>
  <c r="DA229" i="1"/>
  <c r="DA228" i="1"/>
  <c r="DA227" i="1"/>
  <c r="DA226" i="1"/>
  <c r="DA225" i="1"/>
  <c r="DA224" i="1"/>
  <c r="DA223" i="1"/>
  <c r="DA222" i="1"/>
  <c r="DA221" i="1"/>
  <c r="DA220" i="1"/>
  <c r="DA219" i="1"/>
  <c r="DA218" i="1"/>
  <c r="DA217" i="1"/>
  <c r="DA216" i="1"/>
  <c r="DA215" i="1"/>
  <c r="DA214" i="1"/>
  <c r="DA213" i="1"/>
  <c r="DA212" i="1"/>
  <c r="DA211" i="1"/>
  <c r="DA210" i="1"/>
  <c r="DA209" i="1"/>
  <c r="DA208" i="1"/>
  <c r="DA207" i="1"/>
  <c r="DA206" i="1"/>
  <c r="DL293" i="1" l="1"/>
  <c r="DL299" i="1"/>
  <c r="DI294" i="1"/>
  <c r="DK159" i="1"/>
  <c r="DK161" i="1" s="1"/>
  <c r="DI162" i="1"/>
  <c r="DL163" i="1"/>
  <c r="DL160" i="1"/>
  <c r="DL165" i="1"/>
  <c r="DL164" i="1"/>
  <c r="DL156" i="1"/>
  <c r="DL108" i="1"/>
  <c r="DL49" i="1"/>
  <c r="DC288" i="1"/>
  <c r="DB242" i="1"/>
  <c r="DA242" i="1"/>
  <c r="DC241" i="1"/>
  <c r="DC235" i="1"/>
  <c r="DL159" i="1" l="1"/>
  <c r="DL161" i="1" s="1"/>
  <c r="DL167" i="1"/>
  <c r="CZ292" i="1"/>
  <c r="DC242" i="1"/>
  <c r="CZ197" i="1"/>
  <c r="DB192" i="1"/>
  <c r="DB295" i="1" s="1"/>
  <c r="DB196" i="1"/>
  <c r="DB296" i="1" s="1"/>
  <c r="DA196" i="1"/>
  <c r="DA195" i="1"/>
  <c r="DA194" i="1"/>
  <c r="DA193" i="1"/>
  <c r="DA192" i="1"/>
  <c r="DA191" i="1"/>
  <c r="DA190" i="1"/>
  <c r="DA189" i="1"/>
  <c r="DA188" i="1"/>
  <c r="DA187" i="1"/>
  <c r="DA186" i="1"/>
  <c r="DA185" i="1"/>
  <c r="DA184" i="1"/>
  <c r="DA183" i="1"/>
  <c r="DA182" i="1"/>
  <c r="DA181" i="1"/>
  <c r="DA180" i="1"/>
  <c r="DA179" i="1"/>
  <c r="DA178" i="1"/>
  <c r="DA177" i="1"/>
  <c r="DA176" i="1"/>
  <c r="DA175" i="1"/>
  <c r="DA174" i="1"/>
  <c r="DA173" i="1"/>
  <c r="DA172" i="1"/>
  <c r="DA171" i="1"/>
  <c r="DA170" i="1"/>
  <c r="DA169" i="1"/>
  <c r="DA168" i="1"/>
  <c r="E103" i="4"/>
  <c r="D103" i="4"/>
  <c r="E102" i="4"/>
  <c r="E101" i="4"/>
  <c r="D102" i="4"/>
  <c r="D101" i="4"/>
  <c r="M97" i="4"/>
  <c r="M95" i="4"/>
  <c r="M94" i="4"/>
  <c r="M93" i="4"/>
  <c r="M91" i="4"/>
  <c r="M90" i="4"/>
  <c r="M85" i="4"/>
  <c r="M83" i="4"/>
  <c r="M82" i="4"/>
  <c r="M81" i="4"/>
  <c r="M79" i="4"/>
  <c r="M78" i="4"/>
  <c r="M33" i="4"/>
  <c r="M31" i="4"/>
  <c r="M30" i="4"/>
  <c r="M29" i="4"/>
  <c r="M27" i="4"/>
  <c r="M26" i="4"/>
  <c r="M25" i="4"/>
  <c r="M23" i="4"/>
  <c r="M22" i="4"/>
  <c r="M19" i="4"/>
  <c r="M18" i="4"/>
  <c r="M21" i="4"/>
  <c r="M98" i="4"/>
  <c r="L21" i="4"/>
  <c r="L98" i="4"/>
  <c r="G98" i="4"/>
  <c r="J98" i="4"/>
  <c r="H98" i="4"/>
  <c r="E98" i="4"/>
  <c r="F98" i="4"/>
  <c r="D98" i="4"/>
  <c r="L95" i="4"/>
  <c r="L97" i="4" s="1"/>
  <c r="L94" i="4"/>
  <c r="L91" i="4"/>
  <c r="L93" i="4" s="1"/>
  <c r="L90" i="4"/>
  <c r="M87" i="4"/>
  <c r="M89" i="4" s="1"/>
  <c r="L87" i="4"/>
  <c r="L89" i="4" s="1"/>
  <c r="M86" i="4"/>
  <c r="L86" i="4"/>
  <c r="L83" i="4"/>
  <c r="L85" i="4" s="1"/>
  <c r="L82" i="4"/>
  <c r="L79" i="4"/>
  <c r="L81" i="4" s="1"/>
  <c r="L78" i="4"/>
  <c r="M77" i="4"/>
  <c r="M75" i="4"/>
  <c r="L75" i="4"/>
  <c r="L77" i="4" s="1"/>
  <c r="M74" i="4"/>
  <c r="L74" i="4"/>
  <c r="M73" i="4"/>
  <c r="L73" i="4"/>
  <c r="M71" i="4"/>
  <c r="L71" i="4"/>
  <c r="M70" i="4"/>
  <c r="L70" i="4"/>
  <c r="M67" i="4"/>
  <c r="M69" i="4" s="1"/>
  <c r="L67" i="4"/>
  <c r="L69" i="4" s="1"/>
  <c r="M66" i="4"/>
  <c r="L66" i="4"/>
  <c r="M63" i="4"/>
  <c r="M65" i="4" s="1"/>
  <c r="L63" i="4"/>
  <c r="L65" i="4" s="1"/>
  <c r="M62" i="4"/>
  <c r="L62" i="4"/>
  <c r="M59" i="4"/>
  <c r="M61" i="4" s="1"/>
  <c r="L59" i="4"/>
  <c r="L61" i="4" s="1"/>
  <c r="M58" i="4"/>
  <c r="L58" i="4"/>
  <c r="M55" i="4"/>
  <c r="M57" i="4" s="1"/>
  <c r="L55" i="4"/>
  <c r="L57" i="4" s="1"/>
  <c r="M54" i="4"/>
  <c r="L54" i="4"/>
  <c r="M51" i="4"/>
  <c r="M53" i="4" s="1"/>
  <c r="L51" i="4"/>
  <c r="L53" i="4" s="1"/>
  <c r="M50" i="4"/>
  <c r="L50" i="4"/>
  <c r="M47" i="4"/>
  <c r="M49" i="4" s="1"/>
  <c r="L47" i="4"/>
  <c r="L49" i="4" s="1"/>
  <c r="M46" i="4"/>
  <c r="L46" i="4"/>
  <c r="M43" i="4"/>
  <c r="M45" i="4" s="1"/>
  <c r="L43" i="4"/>
  <c r="L45" i="4" s="1"/>
  <c r="M42" i="4"/>
  <c r="L42" i="4"/>
  <c r="M39" i="4"/>
  <c r="M41" i="4" s="1"/>
  <c r="L39" i="4"/>
  <c r="L41" i="4" s="1"/>
  <c r="M38" i="4"/>
  <c r="L38" i="4"/>
  <c r="M37" i="4"/>
  <c r="M35" i="4"/>
  <c r="M34" i="4"/>
  <c r="L35" i="4"/>
  <c r="L34" i="4"/>
  <c r="L37" i="4"/>
  <c r="L31" i="4"/>
  <c r="L33" i="4" s="1"/>
  <c r="L30" i="4"/>
  <c r="L27" i="4"/>
  <c r="L29" i="4" s="1"/>
  <c r="L26" i="4"/>
  <c r="L23" i="4"/>
  <c r="L25" i="4" s="1"/>
  <c r="L22" i="4"/>
  <c r="K97" i="4"/>
  <c r="J97" i="4"/>
  <c r="I97" i="4"/>
  <c r="H97" i="4"/>
  <c r="G97" i="4"/>
  <c r="F97" i="4"/>
  <c r="E97" i="4"/>
  <c r="D97" i="4"/>
  <c r="K93" i="4"/>
  <c r="J93" i="4"/>
  <c r="I93" i="4"/>
  <c r="H93" i="4"/>
  <c r="G93" i="4"/>
  <c r="F93" i="4"/>
  <c r="E93" i="4"/>
  <c r="D93" i="4"/>
  <c r="K89" i="4"/>
  <c r="J89" i="4"/>
  <c r="I89" i="4"/>
  <c r="H89" i="4"/>
  <c r="G89" i="4"/>
  <c r="F89" i="4"/>
  <c r="E89" i="4"/>
  <c r="D89" i="4"/>
  <c r="K85" i="4"/>
  <c r="J85" i="4"/>
  <c r="I85" i="4"/>
  <c r="H85" i="4"/>
  <c r="G85" i="4"/>
  <c r="F85" i="4"/>
  <c r="E85" i="4"/>
  <c r="D85" i="4"/>
  <c r="K81" i="4"/>
  <c r="J81" i="4"/>
  <c r="I81" i="4"/>
  <c r="H81" i="4"/>
  <c r="G81" i="4"/>
  <c r="F81" i="4"/>
  <c r="E81" i="4"/>
  <c r="D81" i="4"/>
  <c r="J69" i="4"/>
  <c r="K77" i="4"/>
  <c r="J77" i="4"/>
  <c r="I77" i="4"/>
  <c r="H77" i="4"/>
  <c r="G77" i="4"/>
  <c r="F77" i="4"/>
  <c r="E77" i="4"/>
  <c r="D77" i="4"/>
  <c r="K73" i="4"/>
  <c r="J73" i="4"/>
  <c r="I73" i="4"/>
  <c r="H73" i="4"/>
  <c r="G73" i="4"/>
  <c r="F73" i="4"/>
  <c r="E73" i="4"/>
  <c r="D73" i="4"/>
  <c r="K69" i="4"/>
  <c r="K98" i="4" s="1"/>
  <c r="I69" i="4"/>
  <c r="H69" i="4"/>
  <c r="G69" i="4"/>
  <c r="F69" i="4"/>
  <c r="E69" i="4"/>
  <c r="D69" i="4"/>
  <c r="K65" i="4"/>
  <c r="J65" i="4"/>
  <c r="I65" i="4"/>
  <c r="H65" i="4"/>
  <c r="G65" i="4"/>
  <c r="F65" i="4"/>
  <c r="E65" i="4"/>
  <c r="D65" i="4"/>
  <c r="K61" i="4"/>
  <c r="J61" i="4"/>
  <c r="I61" i="4"/>
  <c r="H61" i="4"/>
  <c r="G61" i="4"/>
  <c r="F61" i="4"/>
  <c r="E61" i="4"/>
  <c r="D61" i="4"/>
  <c r="K57" i="4"/>
  <c r="J57" i="4"/>
  <c r="I57" i="4"/>
  <c r="H57" i="4"/>
  <c r="G57" i="4"/>
  <c r="F57" i="4"/>
  <c r="E57" i="4"/>
  <c r="D57" i="4"/>
  <c r="K53" i="4"/>
  <c r="J53" i="4"/>
  <c r="I53" i="4"/>
  <c r="I98" i="4" s="1"/>
  <c r="H53" i="4"/>
  <c r="G53" i="4"/>
  <c r="F53" i="4"/>
  <c r="E53" i="4"/>
  <c r="D53" i="4"/>
  <c r="K49" i="4"/>
  <c r="J49" i="4"/>
  <c r="I49" i="4"/>
  <c r="H49" i="4"/>
  <c r="G49" i="4"/>
  <c r="F49" i="4"/>
  <c r="E49" i="4"/>
  <c r="D49" i="4"/>
  <c r="K45" i="4"/>
  <c r="J45" i="4"/>
  <c r="I45" i="4"/>
  <c r="H45" i="4"/>
  <c r="G45" i="4"/>
  <c r="F45" i="4"/>
  <c r="E45" i="4"/>
  <c r="D45" i="4"/>
  <c r="DB297" i="1" l="1"/>
  <c r="CY291" i="1"/>
  <c r="CY294" i="1" s="1"/>
  <c r="DB291" i="1"/>
  <c r="DB293" i="1" s="1"/>
  <c r="DA197" i="1"/>
  <c r="DC196" i="1"/>
  <c r="DC296" i="1" s="1"/>
  <c r="DC192" i="1"/>
  <c r="DB197" i="1"/>
  <c r="K41" i="4"/>
  <c r="J41" i="4"/>
  <c r="I41" i="4"/>
  <c r="H41" i="4"/>
  <c r="G41" i="4"/>
  <c r="F41" i="4"/>
  <c r="E41" i="4"/>
  <c r="D41" i="4"/>
  <c r="F37" i="4"/>
  <c r="G37" i="4"/>
  <c r="K37" i="4"/>
  <c r="J37" i="4"/>
  <c r="I37" i="4"/>
  <c r="H37" i="4"/>
  <c r="E37" i="4"/>
  <c r="D37" i="4"/>
  <c r="J33" i="4"/>
  <c r="K33" i="4"/>
  <c r="I33" i="4"/>
  <c r="H33" i="4"/>
  <c r="K29" i="4"/>
  <c r="J29" i="4"/>
  <c r="I29" i="4"/>
  <c r="H29" i="4"/>
  <c r="F29" i="4"/>
  <c r="G29" i="4"/>
  <c r="I25" i="4"/>
  <c r="H25" i="4"/>
  <c r="F25" i="4"/>
  <c r="G25" i="4"/>
  <c r="J25" i="4"/>
  <c r="K25" i="4"/>
  <c r="DC197" i="1" l="1"/>
  <c r="DC295" i="1"/>
  <c r="DC297" i="1" s="1"/>
  <c r="CZ291" i="1"/>
  <c r="CZ294" i="1" s="1"/>
  <c r="DC291" i="1"/>
  <c r="DC293" i="1" s="1"/>
  <c r="CZ98" i="1"/>
  <c r="CY152" i="1" s="1"/>
  <c r="DB97" i="1"/>
  <c r="CZ149" i="1"/>
  <c r="CY153" i="1" s="1"/>
  <c r="DB148" i="1"/>
  <c r="DA148" i="1"/>
  <c r="DA147" i="1"/>
  <c r="DA146" i="1"/>
  <c r="DB141" i="1"/>
  <c r="DB145" i="1"/>
  <c r="DA145" i="1"/>
  <c r="DA144" i="1"/>
  <c r="DA143" i="1"/>
  <c r="DA142" i="1"/>
  <c r="DA141" i="1"/>
  <c r="DA140" i="1"/>
  <c r="DA139" i="1"/>
  <c r="DA138" i="1"/>
  <c r="DA137" i="1"/>
  <c r="DA136" i="1"/>
  <c r="DA135" i="1"/>
  <c r="DA134" i="1"/>
  <c r="DA133" i="1"/>
  <c r="DA132" i="1"/>
  <c r="DA131" i="1"/>
  <c r="DA130" i="1"/>
  <c r="DA129" i="1"/>
  <c r="DA128" i="1"/>
  <c r="DA127" i="1"/>
  <c r="DA126" i="1"/>
  <c r="DA125" i="1"/>
  <c r="DA124" i="1"/>
  <c r="DA123" i="1"/>
  <c r="DA122" i="1"/>
  <c r="DA121" i="1"/>
  <c r="DA120" i="1"/>
  <c r="DA119" i="1"/>
  <c r="DA118" i="1"/>
  <c r="DA117" i="1"/>
  <c r="DA116" i="1"/>
  <c r="DA115" i="1"/>
  <c r="DA114" i="1"/>
  <c r="DA113" i="1"/>
  <c r="DA112" i="1"/>
  <c r="DA111" i="1"/>
  <c r="DA110" i="1"/>
  <c r="DA109" i="1"/>
  <c r="DA108" i="1"/>
  <c r="DA107" i="1"/>
  <c r="DA93" i="1"/>
  <c r="DA97" i="1"/>
  <c r="DB94" i="1"/>
  <c r="DA94" i="1"/>
  <c r="DA92" i="1"/>
  <c r="DA91" i="1"/>
  <c r="DA90" i="1"/>
  <c r="DA89" i="1"/>
  <c r="DA88" i="1"/>
  <c r="DA87" i="1"/>
  <c r="DA86" i="1"/>
  <c r="DA85" i="1"/>
  <c r="DA84" i="1"/>
  <c r="DA83" i="1"/>
  <c r="DA82" i="1"/>
  <c r="DA96" i="1"/>
  <c r="DA95" i="1"/>
  <c r="DA81" i="1"/>
  <c r="DA80" i="1"/>
  <c r="DA79" i="1"/>
  <c r="DA78" i="1"/>
  <c r="DA77" i="1"/>
  <c r="DB76" i="1"/>
  <c r="DA76" i="1"/>
  <c r="DA75" i="1"/>
  <c r="DA74" i="1"/>
  <c r="DA73" i="1"/>
  <c r="DA72" i="1"/>
  <c r="DA71" i="1"/>
  <c r="DA70" i="1"/>
  <c r="DA69" i="1"/>
  <c r="DA68" i="1"/>
  <c r="DA67" i="1"/>
  <c r="DA66" i="1"/>
  <c r="DA65" i="1"/>
  <c r="DA64" i="1"/>
  <c r="DA63" i="1"/>
  <c r="DA62" i="1"/>
  <c r="DA61" i="1"/>
  <c r="DA60" i="1"/>
  <c r="DA59" i="1"/>
  <c r="DA58" i="1"/>
  <c r="CZ49" i="1"/>
  <c r="CY151" i="1" s="1"/>
  <c r="DB48" i="1"/>
  <c r="DA43" i="1"/>
  <c r="DA42" i="1"/>
  <c r="DA41" i="1"/>
  <c r="DA40" i="1"/>
  <c r="DA39" i="1"/>
  <c r="DA38" i="1"/>
  <c r="DA37" i="1"/>
  <c r="DA36" i="1"/>
  <c r="DB44" i="1"/>
  <c r="DA44" i="1"/>
  <c r="DA35" i="1"/>
  <c r="DA34" i="1"/>
  <c r="DA33" i="1"/>
  <c r="DA32" i="1"/>
  <c r="DA31" i="1"/>
  <c r="DA30" i="1"/>
  <c r="DA29" i="1"/>
  <c r="DA28" i="1"/>
  <c r="DA48" i="1"/>
  <c r="DA47" i="1"/>
  <c r="DA46" i="1"/>
  <c r="DA45" i="1"/>
  <c r="DA27" i="1"/>
  <c r="DA26" i="1"/>
  <c r="DA25" i="1"/>
  <c r="DA24" i="1"/>
  <c r="DA23" i="1"/>
  <c r="DA22" i="1"/>
  <c r="DA21" i="1"/>
  <c r="DA20" i="1"/>
  <c r="DA19" i="1"/>
  <c r="DA18" i="1"/>
  <c r="DA17" i="1"/>
  <c r="DA16" i="1"/>
  <c r="DA15" i="1"/>
  <c r="DA14" i="1"/>
  <c r="DA13" i="1"/>
  <c r="DA12" i="1"/>
  <c r="DA11" i="1"/>
  <c r="DA10" i="1"/>
  <c r="DA9" i="1"/>
  <c r="DA8" i="1"/>
  <c r="DB158" i="1" l="1"/>
  <c r="DA98" i="1"/>
  <c r="DB155" i="1"/>
  <c r="DC97" i="1"/>
  <c r="DB151" i="1"/>
  <c r="DB98" i="1"/>
  <c r="DB156" i="1"/>
  <c r="DC148" i="1"/>
  <c r="DB152" i="1"/>
  <c r="CY154" i="1"/>
  <c r="DB149" i="1"/>
  <c r="DC141" i="1"/>
  <c r="DC145" i="1"/>
  <c r="DA149" i="1"/>
  <c r="CZ153" i="1" s="1"/>
  <c r="DC94" i="1"/>
  <c r="DA49" i="1"/>
  <c r="CZ151" i="1" s="1"/>
  <c r="DB49" i="1"/>
  <c r="CZ152" i="1"/>
  <c r="DC48" i="1"/>
  <c r="DC76" i="1"/>
  <c r="DC44" i="1"/>
  <c r="DB159" i="1" l="1"/>
  <c r="DB153" i="1"/>
  <c r="DC151" i="1"/>
  <c r="DC155" i="1"/>
  <c r="DC152" i="1"/>
  <c r="DC98" i="1"/>
  <c r="DC156" i="1"/>
  <c r="DC158" i="1"/>
  <c r="DC149" i="1"/>
  <c r="CZ154" i="1"/>
  <c r="DC49" i="1"/>
  <c r="DC153" i="1" l="1"/>
  <c r="DC159" i="1"/>
  <c r="CQ273" i="1"/>
  <c r="CP334" i="1" s="1"/>
  <c r="CR256" i="1"/>
  <c r="CR255" i="1"/>
  <c r="CR254" i="1"/>
  <c r="CR253" i="1"/>
  <c r="CR245" i="1"/>
  <c r="CR244" i="1"/>
  <c r="CR243" i="1"/>
  <c r="CR242" i="1"/>
  <c r="CR241" i="1"/>
  <c r="CR240" i="1"/>
  <c r="CR239" i="1"/>
  <c r="CS272" i="1"/>
  <c r="CR270" i="1"/>
  <c r="CR272" i="1"/>
  <c r="CR271" i="1"/>
  <c r="CR269" i="1"/>
  <c r="CR268" i="1"/>
  <c r="CR267" i="1"/>
  <c r="CR266" i="1"/>
  <c r="CR265" i="1"/>
  <c r="CR264" i="1"/>
  <c r="CR263" i="1"/>
  <c r="CR262" i="1"/>
  <c r="CR261" i="1"/>
  <c r="CR260" i="1"/>
  <c r="CR259" i="1"/>
  <c r="CR258" i="1"/>
  <c r="CS257" i="1"/>
  <c r="CR257" i="1"/>
  <c r="CR252" i="1"/>
  <c r="CR251" i="1"/>
  <c r="CR250" i="1"/>
  <c r="CR249" i="1"/>
  <c r="CR248" i="1"/>
  <c r="CR247" i="1"/>
  <c r="CR246" i="1"/>
  <c r="CR238" i="1"/>
  <c r="CR237" i="1"/>
  <c r="CR236" i="1"/>
  <c r="CR235" i="1"/>
  <c r="CR234" i="1"/>
  <c r="CS224" i="1"/>
  <c r="CR211" i="1"/>
  <c r="CR212" i="1"/>
  <c r="CR213" i="1"/>
  <c r="CR214" i="1"/>
  <c r="CR215" i="1"/>
  <c r="CR216" i="1"/>
  <c r="CR217" i="1"/>
  <c r="CR218" i="1"/>
  <c r="CR219" i="1"/>
  <c r="CR220" i="1"/>
  <c r="CR221" i="1"/>
  <c r="CR222" i="1"/>
  <c r="CR223" i="1"/>
  <c r="CR210" i="1"/>
  <c r="CR209" i="1"/>
  <c r="CR208" i="1"/>
  <c r="CR207" i="1"/>
  <c r="CR206" i="1"/>
  <c r="CR205" i="1"/>
  <c r="CR204" i="1"/>
  <c r="CR203" i="1"/>
  <c r="CR202" i="1"/>
  <c r="CR201" i="1"/>
  <c r="CR200" i="1"/>
  <c r="CR199" i="1"/>
  <c r="CR198" i="1"/>
  <c r="CR197" i="1"/>
  <c r="CR196" i="1"/>
  <c r="CR195" i="1"/>
  <c r="CR194" i="1"/>
  <c r="CR193" i="1"/>
  <c r="CR192" i="1"/>
  <c r="CR191" i="1"/>
  <c r="CR190" i="1"/>
  <c r="CR189" i="1"/>
  <c r="CR188" i="1"/>
  <c r="CR187" i="1"/>
  <c r="CR186" i="1"/>
  <c r="CR185" i="1"/>
  <c r="CR184" i="1"/>
  <c r="CR183" i="1"/>
  <c r="CS182" i="1"/>
  <c r="CQ225" i="1"/>
  <c r="CP333" i="1" s="1"/>
  <c r="CR224" i="1"/>
  <c r="CR182" i="1"/>
  <c r="CR181" i="1"/>
  <c r="CR180" i="1"/>
  <c r="CR179" i="1"/>
  <c r="CR178" i="1"/>
  <c r="CR177" i="1"/>
  <c r="CR176" i="1"/>
  <c r="CR175" i="1"/>
  <c r="CR174" i="1"/>
  <c r="CR173" i="1"/>
  <c r="CR172" i="1"/>
  <c r="CR171" i="1"/>
  <c r="CR170" i="1"/>
  <c r="CS146" i="1"/>
  <c r="CS159" i="1" s="1"/>
  <c r="CS150" i="1"/>
  <c r="CS158" i="1" s="1"/>
  <c r="CR144" i="1"/>
  <c r="CR143" i="1"/>
  <c r="CR142" i="1"/>
  <c r="CR141" i="1"/>
  <c r="CR140" i="1"/>
  <c r="CR139" i="1"/>
  <c r="CR138" i="1"/>
  <c r="CR137" i="1"/>
  <c r="CR136" i="1"/>
  <c r="CR135" i="1"/>
  <c r="CR134" i="1"/>
  <c r="CR133" i="1"/>
  <c r="CR132" i="1"/>
  <c r="CR131" i="1"/>
  <c r="CR130" i="1"/>
  <c r="CR129" i="1"/>
  <c r="CR128" i="1"/>
  <c r="CR127" i="1"/>
  <c r="CR126" i="1"/>
  <c r="CS125" i="1"/>
  <c r="CR125" i="1"/>
  <c r="CR124" i="1"/>
  <c r="CR123" i="1"/>
  <c r="CR122" i="1"/>
  <c r="CQ151" i="1"/>
  <c r="CR150" i="1"/>
  <c r="CR149" i="1"/>
  <c r="CR148" i="1"/>
  <c r="CR147" i="1"/>
  <c r="CR146" i="1"/>
  <c r="CR145" i="1"/>
  <c r="CR121" i="1"/>
  <c r="CR120" i="1"/>
  <c r="CR119" i="1"/>
  <c r="CR118" i="1"/>
  <c r="CR117" i="1"/>
  <c r="CR116" i="1"/>
  <c r="CR115" i="1"/>
  <c r="CR114" i="1"/>
  <c r="CR113" i="1"/>
  <c r="CR112" i="1"/>
  <c r="CR111" i="1"/>
  <c r="CR110" i="1"/>
  <c r="CR109" i="1"/>
  <c r="CR108" i="1"/>
  <c r="CR107" i="1"/>
  <c r="CS324" i="1"/>
  <c r="CS337" i="1" s="1"/>
  <c r="CS328" i="1"/>
  <c r="CS336" i="1" s="1"/>
  <c r="CR296" i="1"/>
  <c r="CQ329" i="1"/>
  <c r="CR285" i="1"/>
  <c r="CR286" i="1"/>
  <c r="CR287" i="1"/>
  <c r="CR288" i="1"/>
  <c r="CR289" i="1"/>
  <c r="CR290" i="1"/>
  <c r="CR291" i="1"/>
  <c r="CR292" i="1"/>
  <c r="CR293" i="1"/>
  <c r="CR294" i="1"/>
  <c r="CR295" i="1"/>
  <c r="CR297" i="1"/>
  <c r="CR298" i="1"/>
  <c r="CR299" i="1"/>
  <c r="CR300" i="1"/>
  <c r="CR301" i="1"/>
  <c r="CR302" i="1"/>
  <c r="CR303" i="1"/>
  <c r="CR304" i="1"/>
  <c r="CR305" i="1"/>
  <c r="CR306" i="1"/>
  <c r="CR307" i="1"/>
  <c r="CR308" i="1"/>
  <c r="CR309" i="1"/>
  <c r="CR310" i="1"/>
  <c r="CR311" i="1"/>
  <c r="CR312" i="1"/>
  <c r="CR313" i="1"/>
  <c r="CR314" i="1"/>
  <c r="CR315" i="1"/>
  <c r="CR316" i="1"/>
  <c r="CR317" i="1"/>
  <c r="CR318" i="1"/>
  <c r="CR319" i="1"/>
  <c r="CR320" i="1"/>
  <c r="CR321" i="1"/>
  <c r="CR322" i="1"/>
  <c r="CR323" i="1"/>
  <c r="CR325" i="1"/>
  <c r="CR326" i="1"/>
  <c r="CR327" i="1"/>
  <c r="CR328" i="1"/>
  <c r="CR324" i="1"/>
  <c r="CR284" i="1"/>
  <c r="CR283" i="1"/>
  <c r="CR282" i="1"/>
  <c r="CT338" i="1" l="1"/>
  <c r="CS339" i="1"/>
  <c r="CS333" i="1"/>
  <c r="CS332" i="1"/>
  <c r="CP332" i="1"/>
  <c r="CP335" i="1" s="1"/>
  <c r="CS155" i="1"/>
  <c r="CS160" i="1"/>
  <c r="CP156" i="1"/>
  <c r="CR273" i="1"/>
  <c r="CQ334" i="1" s="1"/>
  <c r="CS225" i="1"/>
  <c r="CT272" i="1"/>
  <c r="CT224" i="1"/>
  <c r="CT257" i="1"/>
  <c r="CT339" i="1" s="1"/>
  <c r="CS273" i="1"/>
  <c r="CT150" i="1"/>
  <c r="CT146" i="1"/>
  <c r="CT324" i="1"/>
  <c r="CT337" i="1" s="1"/>
  <c r="CT125" i="1"/>
  <c r="CT182" i="1"/>
  <c r="CT328" i="1"/>
  <c r="CT336" i="1" s="1"/>
  <c r="CS329" i="1"/>
  <c r="CR225" i="1"/>
  <c r="CQ333" i="1" s="1"/>
  <c r="CS161" i="1"/>
  <c r="CS151" i="1"/>
  <c r="CR151" i="1"/>
  <c r="CR329" i="1"/>
  <c r="CQ332" i="1" l="1"/>
  <c r="CQ335" i="1" s="1"/>
  <c r="CT332" i="1"/>
  <c r="CT333" i="1"/>
  <c r="CT155" i="1"/>
  <c r="CT160" i="1"/>
  <c r="CQ156" i="1"/>
  <c r="CS334" i="1"/>
  <c r="CT151" i="1"/>
  <c r="CT340" i="1"/>
  <c r="CT329" i="1"/>
  <c r="CT273" i="1"/>
  <c r="CT225" i="1"/>
  <c r="CT334" i="1" l="1"/>
  <c r="L19" i="4"/>
  <c r="L18" i="4"/>
  <c r="J21" i="4"/>
  <c r="K21" i="4"/>
  <c r="J17" i="4"/>
  <c r="K17" i="4"/>
  <c r="I21" i="4"/>
  <c r="H21" i="4"/>
  <c r="F21" i="4"/>
  <c r="G21" i="4"/>
  <c r="L15" i="4"/>
  <c r="L14" i="4"/>
  <c r="M17" i="4"/>
  <c r="I17" i="4"/>
  <c r="H17" i="4"/>
  <c r="G17" i="4"/>
  <c r="F17" i="4"/>
  <c r="E17" i="4"/>
  <c r="D17" i="4"/>
  <c r="M13" i="4"/>
  <c r="K13" i="4"/>
  <c r="J13" i="4"/>
  <c r="I13" i="4"/>
  <c r="H13" i="4"/>
  <c r="G13" i="4"/>
  <c r="F13" i="4"/>
  <c r="E13" i="4"/>
  <c r="D13" i="4"/>
  <c r="L11" i="4"/>
  <c r="L10" i="4"/>
  <c r="L7" i="4"/>
  <c r="L6" i="4"/>
  <c r="I9" i="4"/>
  <c r="H9" i="4"/>
  <c r="M9" i="4"/>
  <c r="F9" i="4"/>
  <c r="G9" i="4"/>
  <c r="J9" i="4"/>
  <c r="K9" i="4"/>
  <c r="E33" i="4"/>
  <c r="D33" i="4"/>
  <c r="E29" i="4"/>
  <c r="D29" i="4"/>
  <c r="D25" i="4"/>
  <c r="E25" i="4"/>
  <c r="E21" i="4"/>
  <c r="D21" i="4"/>
  <c r="E9" i="4"/>
  <c r="D9" i="4"/>
  <c r="L9" i="4" l="1"/>
  <c r="L13" i="4"/>
  <c r="L17" i="4"/>
  <c r="CR48" i="1"/>
  <c r="CR47" i="1"/>
  <c r="CR46" i="1"/>
  <c r="CR45" i="1"/>
  <c r="CR44" i="1"/>
  <c r="CR43" i="1"/>
  <c r="CR42" i="1"/>
  <c r="CR41" i="1"/>
  <c r="CR49" i="1"/>
  <c r="CQ98" i="1"/>
  <c r="CP155" i="1" s="1"/>
  <c r="CS97" i="1"/>
  <c r="CR97" i="1"/>
  <c r="CR96" i="1"/>
  <c r="CR95" i="1"/>
  <c r="CR94" i="1"/>
  <c r="CR93" i="1"/>
  <c r="CR92" i="1"/>
  <c r="CR91" i="1"/>
  <c r="CR90" i="1"/>
  <c r="CR89" i="1"/>
  <c r="CR88" i="1"/>
  <c r="CR87" i="1"/>
  <c r="CR86" i="1"/>
  <c r="CR85" i="1"/>
  <c r="CR84" i="1"/>
  <c r="CR83" i="1"/>
  <c r="CR82" i="1"/>
  <c r="CR81" i="1"/>
  <c r="CR80" i="1"/>
  <c r="CR79" i="1"/>
  <c r="CR78" i="1"/>
  <c r="CR77" i="1"/>
  <c r="CR76" i="1"/>
  <c r="CR75" i="1"/>
  <c r="CR74" i="1"/>
  <c r="CR73" i="1"/>
  <c r="CR72" i="1"/>
  <c r="CR71" i="1"/>
  <c r="CR70" i="1"/>
  <c r="CR69" i="1"/>
  <c r="CR68" i="1"/>
  <c r="CR67" i="1"/>
  <c r="CR66" i="1"/>
  <c r="CR65" i="1"/>
  <c r="CR64" i="1"/>
  <c r="CR63" i="1"/>
  <c r="CR62" i="1"/>
  <c r="CQ53" i="1"/>
  <c r="CS52" i="1"/>
  <c r="CS53" i="1" s="1"/>
  <c r="CR52" i="1"/>
  <c r="CR51" i="1"/>
  <c r="CR50" i="1"/>
  <c r="CR24" i="1"/>
  <c r="CR22" i="1"/>
  <c r="CR15" i="1"/>
  <c r="CR40" i="1"/>
  <c r="CR36" i="1"/>
  <c r="CR30" i="1"/>
  <c r="CR39" i="1"/>
  <c r="CR34" i="1"/>
  <c r="CR18" i="1"/>
  <c r="CR38" i="1"/>
  <c r="CR29" i="1"/>
  <c r="CR33" i="1"/>
  <c r="CR23" i="1"/>
  <c r="CR10" i="1"/>
  <c r="CR35" i="1"/>
  <c r="CR21" i="1"/>
  <c r="CR37" i="1"/>
  <c r="CR32" i="1"/>
  <c r="CR16" i="1"/>
  <c r="CR27" i="1"/>
  <c r="CR14" i="1"/>
  <c r="CR25" i="1"/>
  <c r="CR13" i="1"/>
  <c r="CR8" i="1"/>
  <c r="CR17" i="1"/>
  <c r="CR12" i="1"/>
  <c r="CR19" i="1"/>
  <c r="CR31" i="1"/>
  <c r="CR28" i="1"/>
  <c r="CR20" i="1"/>
  <c r="CR9" i="1"/>
  <c r="CR26" i="1"/>
  <c r="CR11" i="1"/>
  <c r="CJ376" i="1"/>
  <c r="CJ379" i="1"/>
  <c r="CJ378" i="1"/>
  <c r="CJ377" i="1"/>
  <c r="CJ178" i="1"/>
  <c r="CJ177" i="1"/>
  <c r="CJ176" i="1"/>
  <c r="CJ175" i="1"/>
  <c r="CA340" i="1"/>
  <c r="CA339" i="1"/>
  <c r="CA205" i="1"/>
  <c r="CA204" i="1"/>
  <c r="CA202" i="1"/>
  <c r="CJ368" i="1"/>
  <c r="CI368" i="1"/>
  <c r="CI367" i="1"/>
  <c r="CI366" i="1"/>
  <c r="CI365" i="1"/>
  <c r="CI364" i="1"/>
  <c r="CI363" i="1"/>
  <c r="CI362" i="1"/>
  <c r="CI361" i="1"/>
  <c r="CI360" i="1"/>
  <c r="CI359" i="1"/>
  <c r="CI358" i="1"/>
  <c r="CI357" i="1"/>
  <c r="CI356" i="1"/>
  <c r="CI355" i="1"/>
  <c r="CI354" i="1"/>
  <c r="CI353" i="1"/>
  <c r="CI352" i="1"/>
  <c r="CI351" i="1"/>
  <c r="CI350" i="1"/>
  <c r="CI349" i="1"/>
  <c r="CI348" i="1"/>
  <c r="CI347" i="1"/>
  <c r="CI346" i="1"/>
  <c r="CI345" i="1"/>
  <c r="CI344" i="1"/>
  <c r="CI343" i="1"/>
  <c r="CI342" i="1"/>
  <c r="CI341" i="1"/>
  <c r="CI340" i="1"/>
  <c r="CI339" i="1"/>
  <c r="CI338" i="1"/>
  <c r="CI337" i="1"/>
  <c r="CI336" i="1"/>
  <c r="CI335" i="1"/>
  <c r="CJ334" i="1"/>
  <c r="CI334" i="1"/>
  <c r="CI333" i="1"/>
  <c r="CH369" i="1"/>
  <c r="CG374" i="1" s="1"/>
  <c r="CI332" i="1"/>
  <c r="CI331" i="1"/>
  <c r="CI330" i="1"/>
  <c r="CI329" i="1"/>
  <c r="CI328" i="1"/>
  <c r="CI327" i="1"/>
  <c r="CI326" i="1"/>
  <c r="CI325" i="1"/>
  <c r="CI324" i="1"/>
  <c r="CI323" i="1"/>
  <c r="CI322" i="1"/>
  <c r="CI321" i="1"/>
  <c r="CI320" i="1"/>
  <c r="CI319" i="1"/>
  <c r="CI318" i="1"/>
  <c r="CI317" i="1"/>
  <c r="CI316" i="1"/>
  <c r="CI315" i="1"/>
  <c r="CI314" i="1"/>
  <c r="CI313" i="1"/>
  <c r="CI312" i="1"/>
  <c r="CI311" i="1"/>
  <c r="CI310" i="1"/>
  <c r="CI309" i="1"/>
  <c r="CI308" i="1"/>
  <c r="CJ298" i="1"/>
  <c r="CJ299" i="1" s="1"/>
  <c r="CI297" i="1"/>
  <c r="CI296" i="1"/>
  <c r="CI295" i="1"/>
  <c r="CI294" i="1"/>
  <c r="CH299" i="1"/>
  <c r="CG373" i="1" s="1"/>
  <c r="CI298" i="1"/>
  <c r="CI293" i="1"/>
  <c r="CI292" i="1"/>
  <c r="CI291" i="1"/>
  <c r="CI290" i="1"/>
  <c r="CI289" i="1"/>
  <c r="CI288" i="1"/>
  <c r="CI287" i="1"/>
  <c r="CI286" i="1"/>
  <c r="CI285" i="1"/>
  <c r="CI284" i="1"/>
  <c r="CI283" i="1"/>
  <c r="CI282" i="1"/>
  <c r="CI281" i="1"/>
  <c r="CI280" i="1"/>
  <c r="CI279" i="1"/>
  <c r="CI278" i="1"/>
  <c r="CI277" i="1"/>
  <c r="CI276" i="1"/>
  <c r="CI275" i="1"/>
  <c r="CI274" i="1"/>
  <c r="CI273" i="1"/>
  <c r="CI272" i="1"/>
  <c r="CI271" i="1"/>
  <c r="CI270" i="1"/>
  <c r="CI269" i="1"/>
  <c r="CI268" i="1"/>
  <c r="CI267" i="1"/>
  <c r="CI266" i="1"/>
  <c r="CI265" i="1"/>
  <c r="CI264" i="1"/>
  <c r="CI263" i="1"/>
  <c r="CI262" i="1"/>
  <c r="CI261" i="1"/>
  <c r="CI260" i="1"/>
  <c r="CI259" i="1"/>
  <c r="CI258" i="1"/>
  <c r="CT159" i="1" l="1"/>
  <c r="CT158" i="1"/>
  <c r="CS154" i="1"/>
  <c r="CS156" i="1" s="1"/>
  <c r="CP154" i="1"/>
  <c r="CS98" i="1"/>
  <c r="CR53" i="1"/>
  <c r="CQ154" i="1" s="1"/>
  <c r="CT52" i="1"/>
  <c r="CT53" i="1" s="1"/>
  <c r="CT97" i="1"/>
  <c r="CR98" i="1"/>
  <c r="CQ155" i="1" s="1"/>
  <c r="CJ380" i="1"/>
  <c r="CJ179" i="1"/>
  <c r="CK334" i="1"/>
  <c r="CK368" i="1"/>
  <c r="CA341" i="1"/>
  <c r="CJ369" i="1"/>
  <c r="CK298" i="1"/>
  <c r="CI369" i="1"/>
  <c r="CH374" i="1" s="1"/>
  <c r="CI299" i="1"/>
  <c r="CH373" i="1" s="1"/>
  <c r="CT154" i="1" l="1"/>
  <c r="CT156" i="1" s="1"/>
  <c r="CP157" i="1"/>
  <c r="CT161" i="1"/>
  <c r="CT98" i="1"/>
  <c r="CQ157" i="1"/>
  <c r="CS340" i="1" s="1"/>
  <c r="CK369" i="1"/>
  <c r="CK299" i="1"/>
  <c r="CA23" i="1" l="1"/>
  <c r="CA75" i="1"/>
  <c r="BR416" i="1"/>
  <c r="BR415" i="1"/>
  <c r="BR414" i="1"/>
  <c r="BR417" i="1" l="1"/>
  <c r="BR396" i="1"/>
  <c r="BR216" i="1"/>
  <c r="BR215" i="1"/>
  <c r="BR214" i="1"/>
  <c r="BR213" i="1"/>
  <c r="BR217" i="1" l="1"/>
  <c r="BI391" i="1"/>
  <c r="BI390" i="1"/>
  <c r="BI389" i="1"/>
  <c r="BI388" i="1"/>
  <c r="BI191" i="1"/>
  <c r="BI192" i="1"/>
  <c r="BI190" i="1"/>
  <c r="BI189" i="1"/>
  <c r="BI79" i="1"/>
  <c r="AZ440" i="1"/>
  <c r="AZ439" i="1"/>
  <c r="AZ438" i="1"/>
  <c r="AZ332" i="1"/>
  <c r="AZ337" i="1"/>
  <c r="AZ238" i="1"/>
  <c r="AZ237" i="1"/>
  <c r="AZ236" i="1"/>
  <c r="AZ235" i="1"/>
  <c r="AR310" i="1"/>
  <c r="AR311" i="1"/>
  <c r="AR312" i="1"/>
  <c r="AR313" i="1"/>
  <c r="CJ248" i="1"/>
  <c r="CJ373" i="1" s="1"/>
  <c r="CI248" i="1"/>
  <c r="CI247" i="1"/>
  <c r="CI246" i="1"/>
  <c r="CI245" i="1"/>
  <c r="CI244" i="1"/>
  <c r="CI243" i="1"/>
  <c r="CI242" i="1"/>
  <c r="CI241" i="1"/>
  <c r="CK378" i="1" s="1"/>
  <c r="CI240" i="1"/>
  <c r="CI239" i="1"/>
  <c r="CI238" i="1"/>
  <c r="CI237" i="1"/>
  <c r="CI236" i="1"/>
  <c r="CI235" i="1"/>
  <c r="CI231" i="1"/>
  <c r="CI230" i="1"/>
  <c r="CI229" i="1"/>
  <c r="CJ234" i="1"/>
  <c r="CJ372" i="1" s="1"/>
  <c r="CH249" i="1"/>
  <c r="CG372" i="1" s="1"/>
  <c r="CG375" i="1" s="1"/>
  <c r="CI234" i="1"/>
  <c r="CI233" i="1"/>
  <c r="CI232" i="1"/>
  <c r="CI228" i="1"/>
  <c r="CI227" i="1"/>
  <c r="CI226" i="1"/>
  <c r="CI225" i="1"/>
  <c r="CI224" i="1"/>
  <c r="CI223" i="1"/>
  <c r="CI222" i="1"/>
  <c r="CI221" i="1"/>
  <c r="CI220" i="1"/>
  <c r="CI219" i="1"/>
  <c r="CI218" i="1"/>
  <c r="CI217" i="1"/>
  <c r="CI216" i="1"/>
  <c r="CI215" i="1"/>
  <c r="CI214" i="1"/>
  <c r="CI213" i="1"/>
  <c r="CI212" i="1"/>
  <c r="CI211" i="1"/>
  <c r="CI210" i="1"/>
  <c r="CI209" i="1"/>
  <c r="CI208" i="1"/>
  <c r="CI207" i="1"/>
  <c r="CI206" i="1"/>
  <c r="CI205" i="1"/>
  <c r="CI204" i="1"/>
  <c r="CI203" i="1"/>
  <c r="CI202" i="1"/>
  <c r="CI201" i="1"/>
  <c r="CI200" i="1"/>
  <c r="CI199" i="1"/>
  <c r="CI198" i="1"/>
  <c r="CI197" i="1"/>
  <c r="CI196" i="1"/>
  <c r="CI195" i="1"/>
  <c r="CI194" i="1"/>
  <c r="CI193" i="1"/>
  <c r="CI192" i="1"/>
  <c r="CI191" i="1"/>
  <c r="CI190" i="1"/>
  <c r="CI189" i="1"/>
  <c r="CI188" i="1"/>
  <c r="AR99" i="1"/>
  <c r="AI320" i="1"/>
  <c r="AI319" i="1"/>
  <c r="AI318" i="1"/>
  <c r="AI172" i="1"/>
  <c r="AI171" i="1"/>
  <c r="Z318" i="1"/>
  <c r="Z317" i="1"/>
  <c r="Z150" i="1"/>
  <c r="Z149" i="1"/>
  <c r="Q286" i="1"/>
  <c r="Q285" i="1"/>
  <c r="Q284" i="1"/>
  <c r="Q177" i="1"/>
  <c r="Q176" i="1"/>
  <c r="H241" i="1"/>
  <c r="H240" i="1"/>
  <c r="G101" i="1"/>
  <c r="G99" i="1"/>
  <c r="G59" i="1"/>
  <c r="G57" i="1"/>
  <c r="G24" i="1"/>
  <c r="G26" i="1"/>
  <c r="CH168" i="1"/>
  <c r="CG173" i="1" s="1"/>
  <c r="CJ167" i="1"/>
  <c r="CI167" i="1"/>
  <c r="CI166" i="1"/>
  <c r="CI165" i="1"/>
  <c r="CI164" i="1"/>
  <c r="CI163" i="1"/>
  <c r="CI162" i="1"/>
  <c r="CI161" i="1"/>
  <c r="CI160" i="1"/>
  <c r="CI159" i="1"/>
  <c r="CI158" i="1"/>
  <c r="CI157" i="1"/>
  <c r="CI156" i="1"/>
  <c r="CI155" i="1"/>
  <c r="CI154" i="1"/>
  <c r="CI153" i="1"/>
  <c r="CI152" i="1"/>
  <c r="CI151" i="1"/>
  <c r="CI150" i="1"/>
  <c r="CI149" i="1"/>
  <c r="CI148" i="1"/>
  <c r="CI147" i="1"/>
  <c r="CI146" i="1"/>
  <c r="CI145" i="1"/>
  <c r="CI144" i="1"/>
  <c r="CI143" i="1"/>
  <c r="CI141" i="1"/>
  <c r="CI140" i="1"/>
  <c r="CI139" i="1"/>
  <c r="CI138" i="1"/>
  <c r="CJ142" i="1"/>
  <c r="CI142" i="1"/>
  <c r="CI137" i="1"/>
  <c r="CI136" i="1"/>
  <c r="CI135" i="1"/>
  <c r="CI134" i="1"/>
  <c r="CI133" i="1"/>
  <c r="CI132" i="1"/>
  <c r="CI131" i="1"/>
  <c r="CI130" i="1"/>
  <c r="CI129" i="1"/>
  <c r="CI128" i="1"/>
  <c r="CI127" i="1"/>
  <c r="CI126" i="1"/>
  <c r="CI125" i="1"/>
  <c r="CI124" i="1"/>
  <c r="CI123" i="1"/>
  <c r="CI122" i="1"/>
  <c r="CI121" i="1"/>
  <c r="CI120" i="1"/>
  <c r="CI119" i="1"/>
  <c r="CI118" i="1"/>
  <c r="CI117" i="1"/>
  <c r="CH108" i="1"/>
  <c r="CG172" i="1" s="1"/>
  <c r="CJ107" i="1"/>
  <c r="CJ108" i="1" s="1"/>
  <c r="CI107" i="1"/>
  <c r="CI106" i="1"/>
  <c r="CI105" i="1"/>
  <c r="CI104" i="1"/>
  <c r="CI103" i="1"/>
  <c r="CI102" i="1"/>
  <c r="CI101" i="1"/>
  <c r="CI100" i="1"/>
  <c r="CI99" i="1"/>
  <c r="CI98" i="1"/>
  <c r="CI97" i="1"/>
  <c r="CI96" i="1"/>
  <c r="CI95" i="1"/>
  <c r="CI94" i="1"/>
  <c r="CI93" i="1"/>
  <c r="CI92" i="1"/>
  <c r="CI91" i="1"/>
  <c r="CI90" i="1"/>
  <c r="CI89" i="1"/>
  <c r="CI88" i="1"/>
  <c r="CI87" i="1"/>
  <c r="CI86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H77" i="1"/>
  <c r="CJ76" i="1"/>
  <c r="CI76" i="1"/>
  <c r="CI75" i="1"/>
  <c r="CI74" i="1"/>
  <c r="CI73" i="1"/>
  <c r="CI72" i="1"/>
  <c r="CI71" i="1"/>
  <c r="CI70" i="1"/>
  <c r="CI69" i="1"/>
  <c r="CI68" i="1"/>
  <c r="CI67" i="1"/>
  <c r="CI66" i="1"/>
  <c r="CI65" i="1"/>
  <c r="CI64" i="1"/>
  <c r="CI63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J38" i="1"/>
  <c r="CI38" i="1"/>
  <c r="CI13" i="1"/>
  <c r="CI12" i="1"/>
  <c r="CI11" i="1"/>
  <c r="CI10" i="1"/>
  <c r="CI9" i="1"/>
  <c r="CI8" i="1"/>
  <c r="CK376" i="1" l="1"/>
  <c r="CK377" i="1"/>
  <c r="CK379" i="1"/>
  <c r="CK175" i="1"/>
  <c r="CJ374" i="1"/>
  <c r="CK178" i="1"/>
  <c r="CK177" i="1"/>
  <c r="CK176" i="1"/>
  <c r="CG171" i="1"/>
  <c r="BI392" i="1"/>
  <c r="BI193" i="1"/>
  <c r="AZ239" i="1"/>
  <c r="AI321" i="1"/>
  <c r="CK234" i="1"/>
  <c r="CK372" i="1" s="1"/>
  <c r="CJ249" i="1"/>
  <c r="CK248" i="1"/>
  <c r="CK373" i="1" s="1"/>
  <c r="AR314" i="1"/>
  <c r="Q287" i="1"/>
  <c r="CI249" i="1"/>
  <c r="CH372" i="1" s="1"/>
  <c r="CH375" i="1" s="1"/>
  <c r="Z151" i="1"/>
  <c r="AI173" i="1"/>
  <c r="Z319" i="1"/>
  <c r="Q178" i="1"/>
  <c r="H242" i="1"/>
  <c r="CI168" i="1"/>
  <c r="CH173" i="1" s="1"/>
  <c r="CJ172" i="1"/>
  <c r="CJ171" i="1"/>
  <c r="CJ168" i="1"/>
  <c r="CI108" i="1"/>
  <c r="CH172" i="1" s="1"/>
  <c r="CK167" i="1"/>
  <c r="CK142" i="1"/>
  <c r="CK107" i="1"/>
  <c r="CK108" i="1" s="1"/>
  <c r="CJ77" i="1"/>
  <c r="CK76" i="1"/>
  <c r="CK38" i="1"/>
  <c r="CI77" i="1"/>
  <c r="BZ330" i="1"/>
  <c r="BZ329" i="1"/>
  <c r="BZ328" i="1"/>
  <c r="BZ327" i="1"/>
  <c r="BY332" i="1"/>
  <c r="BX337" i="1" s="1"/>
  <c r="CA331" i="1"/>
  <c r="CA332" i="1" s="1"/>
  <c r="BZ331" i="1"/>
  <c r="BZ326" i="1"/>
  <c r="BZ325" i="1"/>
  <c r="BZ324" i="1"/>
  <c r="BZ323" i="1"/>
  <c r="BZ322" i="1"/>
  <c r="BZ321" i="1"/>
  <c r="BZ320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302" i="1"/>
  <c r="BZ301" i="1"/>
  <c r="BZ300" i="1"/>
  <c r="BZ299" i="1"/>
  <c r="BZ298" i="1"/>
  <c r="BZ297" i="1"/>
  <c r="BY288" i="1"/>
  <c r="BX336" i="1" s="1"/>
  <c r="CA287" i="1"/>
  <c r="CA288" i="1" s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Z271" i="1"/>
  <c r="BZ270" i="1"/>
  <c r="BZ269" i="1"/>
  <c r="BZ268" i="1"/>
  <c r="BZ267" i="1"/>
  <c r="BZ266" i="1"/>
  <c r="BZ265" i="1"/>
  <c r="BZ264" i="1"/>
  <c r="BZ263" i="1"/>
  <c r="BZ262" i="1"/>
  <c r="BZ261" i="1"/>
  <c r="BZ260" i="1"/>
  <c r="BZ259" i="1"/>
  <c r="BZ258" i="1"/>
  <c r="BZ257" i="1"/>
  <c r="BP340" i="1"/>
  <c r="BO410" i="1" s="1"/>
  <c r="BQ286" i="1"/>
  <c r="BR339" i="1"/>
  <c r="BR287" i="1"/>
  <c r="BQ287" i="1"/>
  <c r="BQ339" i="1"/>
  <c r="BQ335" i="1"/>
  <c r="BQ336" i="1"/>
  <c r="BQ337" i="1"/>
  <c r="BQ338" i="1"/>
  <c r="BQ294" i="1"/>
  <c r="BQ295" i="1"/>
  <c r="BQ296" i="1"/>
  <c r="BQ297" i="1"/>
  <c r="BQ298" i="1"/>
  <c r="BQ299" i="1"/>
  <c r="BQ300" i="1"/>
  <c r="BQ301" i="1"/>
  <c r="BQ302" i="1"/>
  <c r="BQ303" i="1"/>
  <c r="BQ304" i="1"/>
  <c r="BQ305" i="1"/>
  <c r="BQ306" i="1"/>
  <c r="BQ307" i="1"/>
  <c r="BQ308" i="1"/>
  <c r="BQ309" i="1"/>
  <c r="BQ310" i="1"/>
  <c r="BQ311" i="1"/>
  <c r="BQ312" i="1"/>
  <c r="BQ313" i="1"/>
  <c r="BQ314" i="1"/>
  <c r="BQ315" i="1"/>
  <c r="BQ316" i="1"/>
  <c r="BQ317" i="1"/>
  <c r="BQ318" i="1"/>
  <c r="BQ319" i="1"/>
  <c r="BQ320" i="1"/>
  <c r="BQ321" i="1"/>
  <c r="BQ322" i="1"/>
  <c r="BQ323" i="1"/>
  <c r="BQ324" i="1"/>
  <c r="BQ325" i="1"/>
  <c r="BQ326" i="1"/>
  <c r="BQ327" i="1"/>
  <c r="BQ328" i="1"/>
  <c r="BQ329" i="1"/>
  <c r="BQ330" i="1"/>
  <c r="BQ331" i="1"/>
  <c r="BQ332" i="1"/>
  <c r="BQ333" i="1"/>
  <c r="BQ334" i="1"/>
  <c r="BQ293" i="1"/>
  <c r="BQ292" i="1"/>
  <c r="BQ291" i="1"/>
  <c r="BQ290" i="1"/>
  <c r="BQ289" i="1"/>
  <c r="BQ288" i="1"/>
  <c r="BQ285" i="1"/>
  <c r="BQ284" i="1"/>
  <c r="BQ283" i="1"/>
  <c r="BQ282" i="1"/>
  <c r="BQ281" i="1"/>
  <c r="CG174" i="1" l="1"/>
  <c r="CK380" i="1"/>
  <c r="CK179" i="1"/>
  <c r="CH171" i="1"/>
  <c r="CK374" i="1"/>
  <c r="CK249" i="1"/>
  <c r="CJ173" i="1"/>
  <c r="CK171" i="1"/>
  <c r="CK168" i="1"/>
  <c r="CK172" i="1"/>
  <c r="CK77" i="1"/>
  <c r="CB331" i="1"/>
  <c r="CB332" i="1" s="1"/>
  <c r="BZ332" i="1"/>
  <c r="BY337" i="1" s="1"/>
  <c r="CB287" i="1"/>
  <c r="CB288" i="1" s="1"/>
  <c r="BZ288" i="1"/>
  <c r="BY336" i="1" s="1"/>
  <c r="BS339" i="1"/>
  <c r="BR340" i="1"/>
  <c r="BQ340" i="1"/>
  <c r="BP410" i="1" s="1"/>
  <c r="BS287" i="1"/>
  <c r="CH174" i="1" l="1"/>
  <c r="CK173" i="1"/>
  <c r="BS340" i="1"/>
  <c r="BY248" i="1"/>
  <c r="BX335" i="1" s="1"/>
  <c r="BX338" i="1" s="1"/>
  <c r="CA335" i="1" s="1"/>
  <c r="CA337" i="1" s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BZ233" i="1"/>
  <c r="BZ232" i="1"/>
  <c r="BZ231" i="1"/>
  <c r="BZ230" i="1"/>
  <c r="BZ229" i="1"/>
  <c r="BZ228" i="1"/>
  <c r="BZ227" i="1"/>
  <c r="BZ226" i="1"/>
  <c r="BZ225" i="1"/>
  <c r="BZ224" i="1"/>
  <c r="BZ223" i="1"/>
  <c r="BZ222" i="1"/>
  <c r="BZ221" i="1"/>
  <c r="BZ220" i="1"/>
  <c r="CA247" i="1"/>
  <c r="CA248" i="1" s="1"/>
  <c r="BZ247" i="1"/>
  <c r="CB339" i="1" s="1"/>
  <c r="BZ246" i="1"/>
  <c r="BZ219" i="1"/>
  <c r="BZ218" i="1"/>
  <c r="BZ217" i="1"/>
  <c r="BZ216" i="1"/>
  <c r="BY195" i="1"/>
  <c r="BX200" i="1" s="1"/>
  <c r="CA194" i="1"/>
  <c r="CA203" i="1" s="1"/>
  <c r="CA206" i="1" s="1"/>
  <c r="BZ193" i="1"/>
  <c r="BZ192" i="1"/>
  <c r="BZ191" i="1"/>
  <c r="BZ190" i="1"/>
  <c r="BZ189" i="1"/>
  <c r="BZ188" i="1"/>
  <c r="BZ187" i="1"/>
  <c r="BZ186" i="1"/>
  <c r="BZ185" i="1"/>
  <c r="BZ184" i="1"/>
  <c r="BZ183" i="1"/>
  <c r="BZ182" i="1"/>
  <c r="BZ181" i="1"/>
  <c r="BZ180" i="1"/>
  <c r="BZ179" i="1"/>
  <c r="BZ178" i="1"/>
  <c r="BZ177" i="1"/>
  <c r="BZ156" i="1"/>
  <c r="BZ155" i="1"/>
  <c r="BZ154" i="1"/>
  <c r="BZ153" i="1"/>
  <c r="BZ152" i="1"/>
  <c r="BZ151" i="1"/>
  <c r="BZ150" i="1"/>
  <c r="BZ149" i="1"/>
  <c r="BZ148" i="1"/>
  <c r="BZ147" i="1"/>
  <c r="CA146" i="1"/>
  <c r="BZ194" i="1"/>
  <c r="BZ176" i="1"/>
  <c r="BZ175" i="1"/>
  <c r="BZ174" i="1"/>
  <c r="BZ173" i="1"/>
  <c r="BZ172" i="1"/>
  <c r="BZ171" i="1"/>
  <c r="BZ170" i="1"/>
  <c r="BZ169" i="1"/>
  <c r="BZ168" i="1"/>
  <c r="BZ167" i="1"/>
  <c r="BZ166" i="1"/>
  <c r="BZ165" i="1"/>
  <c r="BZ164" i="1"/>
  <c r="BZ163" i="1"/>
  <c r="BZ162" i="1"/>
  <c r="BZ161" i="1"/>
  <c r="BZ160" i="1"/>
  <c r="BZ159" i="1"/>
  <c r="BZ158" i="1"/>
  <c r="BZ157" i="1"/>
  <c r="BZ146" i="1"/>
  <c r="BZ145" i="1"/>
  <c r="BZ144" i="1"/>
  <c r="BZ143" i="1"/>
  <c r="BZ142" i="1"/>
  <c r="BZ141" i="1"/>
  <c r="BZ140" i="1"/>
  <c r="BZ139" i="1"/>
  <c r="BZ138" i="1"/>
  <c r="BZ137" i="1"/>
  <c r="BZ136" i="1"/>
  <c r="BY127" i="1"/>
  <c r="BX199" i="1" s="1"/>
  <c r="CA126" i="1"/>
  <c r="CA127" i="1" s="1"/>
  <c r="BZ126" i="1"/>
  <c r="BZ125" i="1"/>
  <c r="BZ124" i="1"/>
  <c r="BZ123" i="1"/>
  <c r="BZ122" i="1"/>
  <c r="BZ121" i="1"/>
  <c r="BZ120" i="1"/>
  <c r="BZ119" i="1"/>
  <c r="BZ118" i="1"/>
  <c r="BZ117" i="1"/>
  <c r="BZ116" i="1"/>
  <c r="BZ115" i="1"/>
  <c r="BZ114" i="1"/>
  <c r="BZ113" i="1"/>
  <c r="BZ112" i="1"/>
  <c r="BZ111" i="1"/>
  <c r="BZ110" i="1"/>
  <c r="BZ109" i="1"/>
  <c r="BZ108" i="1"/>
  <c r="BZ107" i="1"/>
  <c r="BZ106" i="1"/>
  <c r="BZ105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Y76" i="1"/>
  <c r="BX198" i="1" s="1"/>
  <c r="BZ21" i="1"/>
  <c r="BZ22" i="1"/>
  <c r="BZ23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25" i="1"/>
  <c r="BZ24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CB340" i="1" l="1"/>
  <c r="CB341" i="1" s="1"/>
  <c r="CB202" i="1"/>
  <c r="CB204" i="1"/>
  <c r="CB205" i="1"/>
  <c r="CB23" i="1"/>
  <c r="CB75" i="1"/>
  <c r="BX201" i="1"/>
  <c r="CA195" i="1"/>
  <c r="CA199" i="1"/>
  <c r="CA198" i="1"/>
  <c r="BZ248" i="1"/>
  <c r="BY335" i="1" s="1"/>
  <c r="BY338" i="1" s="1"/>
  <c r="CB335" i="1" s="1"/>
  <c r="CB337" i="1" s="1"/>
  <c r="CB247" i="1"/>
  <c r="CB194" i="1"/>
  <c r="CB203" i="1" s="1"/>
  <c r="BZ195" i="1"/>
  <c r="BY200" i="1" s="1"/>
  <c r="CA76" i="1"/>
  <c r="CB146" i="1"/>
  <c r="CB126" i="1"/>
  <c r="CB127" i="1" s="1"/>
  <c r="BZ127" i="1"/>
  <c r="BY199" i="1" s="1"/>
  <c r="BZ76" i="1"/>
  <c r="BY198" i="1" s="1"/>
  <c r="CB206" i="1" l="1"/>
  <c r="CB198" i="1"/>
  <c r="CB199" i="1"/>
  <c r="BY201" i="1"/>
  <c r="CB195" i="1"/>
  <c r="CB248" i="1"/>
  <c r="CA200" i="1"/>
  <c r="CB76" i="1"/>
  <c r="CB200" i="1" l="1"/>
  <c r="BP406" i="1"/>
  <c r="BO411" i="1" s="1"/>
  <c r="BQ396" i="1"/>
  <c r="BQ395" i="1"/>
  <c r="BQ394" i="1"/>
  <c r="BQ393" i="1"/>
  <c r="BQ392" i="1"/>
  <c r="BQ391" i="1"/>
  <c r="BQ390" i="1"/>
  <c r="BQ389" i="1"/>
  <c r="BQ388" i="1"/>
  <c r="BQ387" i="1"/>
  <c r="BQ386" i="1"/>
  <c r="BQ385" i="1"/>
  <c r="BQ384" i="1"/>
  <c r="BQ383" i="1"/>
  <c r="BQ382" i="1"/>
  <c r="BQ381" i="1"/>
  <c r="BQ380" i="1"/>
  <c r="BQ379" i="1"/>
  <c r="BQ378" i="1"/>
  <c r="BQ377" i="1"/>
  <c r="BQ376" i="1"/>
  <c r="BQ404" i="1"/>
  <c r="BQ401" i="1"/>
  <c r="BQ402" i="1"/>
  <c r="BQ403" i="1"/>
  <c r="BQ405" i="1"/>
  <c r="BR405" i="1"/>
  <c r="BR411" i="1" s="1"/>
  <c r="BR400" i="1"/>
  <c r="BR410" i="1" s="1"/>
  <c r="BQ400" i="1"/>
  <c r="BQ399" i="1"/>
  <c r="BQ398" i="1"/>
  <c r="BQ397" i="1"/>
  <c r="BQ375" i="1"/>
  <c r="BQ374" i="1"/>
  <c r="BQ373" i="1"/>
  <c r="BQ372" i="1"/>
  <c r="BQ371" i="1"/>
  <c r="BQ370" i="1"/>
  <c r="BQ369" i="1"/>
  <c r="BQ368" i="1"/>
  <c r="BQ367" i="1"/>
  <c r="BQ366" i="1"/>
  <c r="BQ365" i="1"/>
  <c r="BQ364" i="1"/>
  <c r="BQ363" i="1"/>
  <c r="BQ362" i="1"/>
  <c r="BQ361" i="1"/>
  <c r="BQ360" i="1"/>
  <c r="BQ359" i="1"/>
  <c r="BQ358" i="1"/>
  <c r="BQ357" i="1"/>
  <c r="BQ356" i="1"/>
  <c r="BQ355" i="1"/>
  <c r="BQ354" i="1"/>
  <c r="BQ353" i="1"/>
  <c r="BQ352" i="1"/>
  <c r="BQ351" i="1"/>
  <c r="BQ350" i="1"/>
  <c r="BQ349" i="1"/>
  <c r="BP272" i="1"/>
  <c r="BO409" i="1" s="1"/>
  <c r="BR271" i="1"/>
  <c r="BR272" i="1" s="1"/>
  <c r="BQ271" i="1"/>
  <c r="BQ270" i="1"/>
  <c r="BQ269" i="1"/>
  <c r="BQ268" i="1"/>
  <c r="BQ267" i="1"/>
  <c r="BQ266" i="1"/>
  <c r="BQ265" i="1"/>
  <c r="BQ264" i="1"/>
  <c r="BQ263" i="1"/>
  <c r="BQ262" i="1"/>
  <c r="BQ261" i="1"/>
  <c r="BQ260" i="1"/>
  <c r="BQ259" i="1"/>
  <c r="BQ258" i="1"/>
  <c r="BQ257" i="1"/>
  <c r="BQ256" i="1"/>
  <c r="BQ255" i="1"/>
  <c r="BQ254" i="1"/>
  <c r="BQ253" i="1"/>
  <c r="BQ252" i="1"/>
  <c r="BQ251" i="1"/>
  <c r="BQ250" i="1"/>
  <c r="BQ249" i="1"/>
  <c r="BQ248" i="1"/>
  <c r="BQ247" i="1"/>
  <c r="BQ246" i="1"/>
  <c r="BQ245" i="1"/>
  <c r="BQ244" i="1"/>
  <c r="BQ243" i="1"/>
  <c r="BQ242" i="1"/>
  <c r="BQ241" i="1"/>
  <c r="BQ240" i="1"/>
  <c r="BQ239" i="1"/>
  <c r="BQ238" i="1"/>
  <c r="BQ237" i="1"/>
  <c r="BQ236" i="1"/>
  <c r="BQ235" i="1"/>
  <c r="BQ234" i="1"/>
  <c r="BQ233" i="1"/>
  <c r="BQ232" i="1"/>
  <c r="BQ231" i="1"/>
  <c r="BQ230" i="1"/>
  <c r="BS414" i="1" l="1"/>
  <c r="BS416" i="1"/>
  <c r="BS415" i="1"/>
  <c r="BS396" i="1"/>
  <c r="BR409" i="1"/>
  <c r="BR412" i="1" s="1"/>
  <c r="BR406" i="1"/>
  <c r="BQ406" i="1"/>
  <c r="BP411" i="1" s="1"/>
  <c r="BO412" i="1"/>
  <c r="BS400" i="1"/>
  <c r="BS410" i="1" s="1"/>
  <c r="BS405" i="1"/>
  <c r="BS411" i="1" s="1"/>
  <c r="BS271" i="1"/>
  <c r="BQ272" i="1"/>
  <c r="BP409" i="1" s="1"/>
  <c r="BS417" i="1" l="1"/>
  <c r="BS409" i="1"/>
  <c r="BS412" i="1" s="1"/>
  <c r="BP412" i="1"/>
  <c r="BS406" i="1"/>
  <c r="BS272" i="1"/>
  <c r="BI307" i="1"/>
  <c r="BI303" i="1"/>
  <c r="F19" i="3"/>
  <c r="E19" i="3"/>
  <c r="L9" i="3"/>
  <c r="F17" i="3"/>
  <c r="F18" i="3"/>
  <c r="F16" i="3"/>
  <c r="F15" i="3"/>
  <c r="F14" i="3"/>
  <c r="E13" i="3"/>
  <c r="F11" i="3"/>
  <c r="F9" i="3"/>
  <c r="F6" i="3"/>
  <c r="F12" i="3"/>
  <c r="F10" i="3"/>
  <c r="F8" i="3"/>
  <c r="F5" i="3"/>
  <c r="F7" i="3"/>
  <c r="F4" i="3"/>
  <c r="BF391" i="1"/>
  <c r="BF390" i="1"/>
  <c r="BQ204" i="1"/>
  <c r="BQ203" i="1"/>
  <c r="BQ202" i="1"/>
  <c r="BP206" i="1"/>
  <c r="BO211" i="1" s="1"/>
  <c r="BR205" i="1"/>
  <c r="BQ205" i="1"/>
  <c r="BQ201" i="1"/>
  <c r="BQ200" i="1"/>
  <c r="BQ199" i="1"/>
  <c r="BQ198" i="1"/>
  <c r="BQ197" i="1"/>
  <c r="BQ196" i="1"/>
  <c r="BQ195" i="1"/>
  <c r="BQ194" i="1"/>
  <c r="BQ193" i="1"/>
  <c r="BQ192" i="1"/>
  <c r="BQ191" i="1"/>
  <c r="BQ190" i="1"/>
  <c r="BQ189" i="1"/>
  <c r="BQ188" i="1"/>
  <c r="BQ187" i="1"/>
  <c r="BQ186" i="1"/>
  <c r="BQ185" i="1"/>
  <c r="BQ184" i="1"/>
  <c r="BQ183" i="1"/>
  <c r="BQ182" i="1"/>
  <c r="BQ181" i="1"/>
  <c r="BQ180" i="1"/>
  <c r="BQ179" i="1"/>
  <c r="BQ178" i="1"/>
  <c r="BQ177" i="1"/>
  <c r="BQ176" i="1"/>
  <c r="BQ175" i="1"/>
  <c r="BQ174" i="1"/>
  <c r="BQ173" i="1"/>
  <c r="BQ172" i="1"/>
  <c r="BQ171" i="1"/>
  <c r="BQ170" i="1"/>
  <c r="BQ169" i="1"/>
  <c r="BQ168" i="1"/>
  <c r="BQ167" i="1"/>
  <c r="BQ166" i="1"/>
  <c r="BQ165" i="1"/>
  <c r="BQ164" i="1"/>
  <c r="BQ163" i="1"/>
  <c r="BQ162" i="1"/>
  <c r="BQ161" i="1"/>
  <c r="BQ160" i="1"/>
  <c r="BR159" i="1"/>
  <c r="BQ159" i="1"/>
  <c r="BQ158" i="1"/>
  <c r="BQ157" i="1"/>
  <c r="BQ156" i="1"/>
  <c r="BQ155" i="1"/>
  <c r="BQ154" i="1"/>
  <c r="BQ153" i="1"/>
  <c r="BQ152" i="1"/>
  <c r="BQ151" i="1"/>
  <c r="BQ150" i="1"/>
  <c r="BQ149" i="1"/>
  <c r="BF392" i="1" l="1"/>
  <c r="M9" i="3"/>
  <c r="F13" i="3"/>
  <c r="BR206" i="1"/>
  <c r="BS159" i="1"/>
  <c r="BS205" i="1"/>
  <c r="BQ206" i="1"/>
  <c r="BP211" i="1" s="1"/>
  <c r="BS206" i="1" l="1"/>
  <c r="BP140" i="1" l="1"/>
  <c r="BO210" i="1" s="1"/>
  <c r="BQ9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R139" i="1"/>
  <c r="BQ124" i="1"/>
  <c r="BQ123" i="1"/>
  <c r="BQ122" i="1"/>
  <c r="BQ121" i="1"/>
  <c r="BQ120" i="1"/>
  <c r="BQ119" i="1"/>
  <c r="BQ118" i="1"/>
  <c r="BQ117" i="1"/>
  <c r="BQ116" i="1"/>
  <c r="BQ115" i="1"/>
  <c r="BQ114" i="1"/>
  <c r="BQ113" i="1"/>
  <c r="BQ112" i="1"/>
  <c r="BQ111" i="1"/>
  <c r="BQ110" i="1"/>
  <c r="BQ109" i="1"/>
  <c r="BQ108" i="1"/>
  <c r="BQ107" i="1"/>
  <c r="BQ106" i="1"/>
  <c r="BQ105" i="1"/>
  <c r="BQ104" i="1"/>
  <c r="BQ103" i="1"/>
  <c r="BQ102" i="1"/>
  <c r="BQ101" i="1"/>
  <c r="BQ100" i="1"/>
  <c r="BQ99" i="1"/>
  <c r="BQ98" i="1"/>
  <c r="BQ97" i="1"/>
  <c r="BR96" i="1"/>
  <c r="BQ96" i="1"/>
  <c r="BQ95" i="1"/>
  <c r="BQ93" i="1"/>
  <c r="BQ92" i="1"/>
  <c r="BQ91" i="1"/>
  <c r="BQ90" i="1"/>
  <c r="BQ89" i="1"/>
  <c r="BQ88" i="1"/>
  <c r="BQ87" i="1"/>
  <c r="BQ86" i="1"/>
  <c r="BQ85" i="1"/>
  <c r="BQ84" i="1"/>
  <c r="BQ83" i="1"/>
  <c r="BQ82" i="1"/>
  <c r="BQ81" i="1"/>
  <c r="BQ80" i="1"/>
  <c r="BQ79" i="1"/>
  <c r="BQ78" i="1"/>
  <c r="BQ77" i="1"/>
  <c r="BQ76" i="1"/>
  <c r="BQ75" i="1"/>
  <c r="BQ74" i="1"/>
  <c r="BQ73" i="1"/>
  <c r="BQ72" i="1"/>
  <c r="BQ71" i="1"/>
  <c r="BQ70" i="1"/>
  <c r="BQ69" i="1"/>
  <c r="BQ68" i="1"/>
  <c r="BQ67" i="1"/>
  <c r="BQ140" i="1" l="1"/>
  <c r="BP210" i="1" s="1"/>
  <c r="BR140" i="1"/>
  <c r="BS139" i="1"/>
  <c r="BS96" i="1"/>
  <c r="BS140" i="1" l="1"/>
  <c r="H106" i="1"/>
  <c r="H105" i="1"/>
  <c r="BP58" i="1"/>
  <c r="BQ52" i="1"/>
  <c r="BQ51" i="1"/>
  <c r="BQ50" i="1"/>
  <c r="BQ49" i="1"/>
  <c r="BQ48" i="1"/>
  <c r="BQ47" i="1"/>
  <c r="BQ46" i="1"/>
  <c r="BR44" i="1"/>
  <c r="BR209" i="1" s="1"/>
  <c r="BQ44" i="1"/>
  <c r="BR57" i="1"/>
  <c r="BR210" i="1" s="1"/>
  <c r="BQ57" i="1"/>
  <c r="BQ56" i="1"/>
  <c r="BQ55" i="1"/>
  <c r="BQ54" i="1"/>
  <c r="BQ53" i="1"/>
  <c r="BQ45" i="1"/>
  <c r="BQ43" i="1"/>
  <c r="BQ41" i="1"/>
  <c r="BQ42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AQ301" i="1"/>
  <c r="BH379" i="1"/>
  <c r="BH378" i="1"/>
  <c r="BH377" i="1"/>
  <c r="BH376" i="1"/>
  <c r="BH375" i="1"/>
  <c r="BH374" i="1"/>
  <c r="BH373" i="1"/>
  <c r="BH372" i="1"/>
  <c r="BH37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G381" i="1"/>
  <c r="BF386" i="1" s="1"/>
  <c r="BI380" i="1"/>
  <c r="BH380" i="1"/>
  <c r="BH370" i="1"/>
  <c r="BH369" i="1"/>
  <c r="BH368" i="1"/>
  <c r="BH367" i="1"/>
  <c r="BH366" i="1"/>
  <c r="BH365" i="1"/>
  <c r="BH364" i="1"/>
  <c r="BH363" i="1"/>
  <c r="BH341" i="1"/>
  <c r="BH340" i="1"/>
  <c r="BH339" i="1"/>
  <c r="BH338" i="1"/>
  <c r="BI337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294" i="1"/>
  <c r="BH293" i="1"/>
  <c r="BH292" i="1"/>
  <c r="BH291" i="1"/>
  <c r="BH290" i="1"/>
  <c r="BH289" i="1"/>
  <c r="BH288" i="1"/>
  <c r="BH304" i="1"/>
  <c r="BH303" i="1"/>
  <c r="BH302" i="1"/>
  <c r="BH301" i="1"/>
  <c r="BH300" i="1"/>
  <c r="BH299" i="1"/>
  <c r="BH298" i="1"/>
  <c r="BH297" i="1"/>
  <c r="BH286" i="1"/>
  <c r="BG308" i="1"/>
  <c r="BF385" i="1" s="1"/>
  <c r="BH307" i="1"/>
  <c r="BH306" i="1"/>
  <c r="BH305" i="1"/>
  <c r="BH296" i="1"/>
  <c r="BH295" i="1"/>
  <c r="BH287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I236" i="1"/>
  <c r="BG244" i="1"/>
  <c r="BI243" i="1"/>
  <c r="BH243" i="1"/>
  <c r="BH242" i="1"/>
  <c r="BH241" i="1"/>
  <c r="BH240" i="1"/>
  <c r="BH239" i="1"/>
  <c r="BH238" i="1"/>
  <c r="BH237" i="1"/>
  <c r="BG182" i="1"/>
  <c r="BF187" i="1" s="1"/>
  <c r="BI181" i="1"/>
  <c r="BI182" i="1" s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2" i="1"/>
  <c r="BH161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G134" i="1"/>
  <c r="BF186" i="1" s="1"/>
  <c r="BI133" i="1"/>
  <c r="BI134" i="1" s="1"/>
  <c r="BH132" i="1"/>
  <c r="BH131" i="1"/>
  <c r="BH130" i="1"/>
  <c r="BH129" i="1"/>
  <c r="BH128" i="1"/>
  <c r="BH127" i="1"/>
  <c r="BH126" i="1"/>
  <c r="BH125" i="1"/>
  <c r="BH124" i="1"/>
  <c r="BH123" i="1"/>
  <c r="BH13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G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G59" i="1"/>
  <c r="BI17" i="1"/>
  <c r="BI41" i="1"/>
  <c r="BI58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41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AX431" i="1"/>
  <c r="AW436" i="1" s="1"/>
  <c r="AY426" i="1"/>
  <c r="AY425" i="1"/>
  <c r="AY424" i="1"/>
  <c r="AY374" i="1"/>
  <c r="AY373" i="1"/>
  <c r="AZ375" i="1"/>
  <c r="AY375" i="1"/>
  <c r="AY372" i="1"/>
  <c r="AY371" i="1"/>
  <c r="AZ430" i="1"/>
  <c r="AY429" i="1"/>
  <c r="AY428" i="1"/>
  <c r="AY427" i="1"/>
  <c r="AY423" i="1"/>
  <c r="AY422" i="1"/>
  <c r="AY421" i="1"/>
  <c r="AY430" i="1"/>
  <c r="AY420" i="1"/>
  <c r="AY419" i="1"/>
  <c r="AY418" i="1"/>
  <c r="AY417" i="1"/>
  <c r="AY416" i="1"/>
  <c r="AY415" i="1"/>
  <c r="AY414" i="1"/>
  <c r="AY413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54" i="1"/>
  <c r="AY353" i="1"/>
  <c r="AY352" i="1"/>
  <c r="AY351" i="1"/>
  <c r="AY350" i="1"/>
  <c r="AY349" i="1"/>
  <c r="AY348" i="1"/>
  <c r="AY347" i="1"/>
  <c r="AX338" i="1"/>
  <c r="AW435" i="1" s="1"/>
  <c r="AZ338" i="1"/>
  <c r="AY337" i="1"/>
  <c r="AY336" i="1"/>
  <c r="AY335" i="1"/>
  <c r="AY334" i="1"/>
  <c r="AY333" i="1"/>
  <c r="AY332" i="1"/>
  <c r="AY331" i="1"/>
  <c r="AY330" i="1"/>
  <c r="AY329" i="1"/>
  <c r="AZ319" i="1"/>
  <c r="AZ262" i="1"/>
  <c r="AZ441" i="1" s="1"/>
  <c r="AZ117" i="1"/>
  <c r="AX320" i="1"/>
  <c r="AW434" i="1" s="1"/>
  <c r="AY319" i="1"/>
  <c r="AY317" i="1"/>
  <c r="AY314" i="1"/>
  <c r="AY313" i="1"/>
  <c r="AY312" i="1"/>
  <c r="AY310" i="1"/>
  <c r="AY311" i="1"/>
  <c r="AY315" i="1"/>
  <c r="AY316" i="1"/>
  <c r="AY318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1" i="1"/>
  <c r="AY262" i="1"/>
  <c r="AY258" i="1"/>
  <c r="AY259" i="1"/>
  <c r="AY260" i="1"/>
  <c r="AY257" i="1"/>
  <c r="AY256" i="1"/>
  <c r="AY255" i="1"/>
  <c r="AY254" i="1"/>
  <c r="AY253" i="1"/>
  <c r="AY252" i="1"/>
  <c r="AY251" i="1"/>
  <c r="AY250" i="1"/>
  <c r="AY249" i="1"/>
  <c r="AY248" i="1"/>
  <c r="AY226" i="1"/>
  <c r="AY185" i="1"/>
  <c r="AY186" i="1"/>
  <c r="AY187" i="1"/>
  <c r="AY188" i="1"/>
  <c r="AY189" i="1"/>
  <c r="AY190" i="1"/>
  <c r="AY191" i="1"/>
  <c r="AY192" i="1"/>
  <c r="AY179" i="1"/>
  <c r="AY180" i="1"/>
  <c r="AY181" i="1"/>
  <c r="AY182" i="1"/>
  <c r="AY183" i="1"/>
  <c r="AY184" i="1"/>
  <c r="AY193" i="1"/>
  <c r="AY194" i="1"/>
  <c r="AX228" i="1"/>
  <c r="AW233" i="1" s="1"/>
  <c r="AZ227" i="1"/>
  <c r="AY227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Z195" i="1"/>
  <c r="AY195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17" i="1"/>
  <c r="AY116" i="1"/>
  <c r="AY115" i="1"/>
  <c r="AY114" i="1"/>
  <c r="AY113" i="1"/>
  <c r="AY149" i="1"/>
  <c r="AY148" i="1"/>
  <c r="AY147" i="1"/>
  <c r="AY146" i="1"/>
  <c r="AY145" i="1"/>
  <c r="AY144" i="1"/>
  <c r="AX151" i="1"/>
  <c r="AW232" i="1" s="1"/>
  <c r="AZ150" i="1"/>
  <c r="AY150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X84" i="1"/>
  <c r="AW231" i="1" s="1"/>
  <c r="AZ56" i="1"/>
  <c r="AY56" i="1"/>
  <c r="AY55" i="1"/>
  <c r="AY54" i="1"/>
  <c r="AY53" i="1"/>
  <c r="AZ83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N10" i="2"/>
  <c r="N4" i="2"/>
  <c r="N6" i="2" s="1"/>
  <c r="F4" i="2"/>
  <c r="G4" i="2" s="1"/>
  <c r="AP294" i="1"/>
  <c r="AO302" i="1"/>
  <c r="AP283" i="1"/>
  <c r="F8" i="1"/>
  <c r="O8" i="1"/>
  <c r="O188" i="1"/>
  <c r="X162" i="1"/>
  <c r="AG8" i="1"/>
  <c r="AG183" i="1"/>
  <c r="AP8" i="1"/>
  <c r="AP111" i="1"/>
  <c r="F9" i="1"/>
  <c r="O9" i="1"/>
  <c r="O189" i="1"/>
  <c r="X163" i="1"/>
  <c r="AG9" i="1"/>
  <c r="AG184" i="1"/>
  <c r="AP9" i="1"/>
  <c r="AP112" i="1"/>
  <c r="F10" i="1"/>
  <c r="G10" i="1"/>
  <c r="O10" i="1"/>
  <c r="O190" i="1"/>
  <c r="P190" i="1"/>
  <c r="X164" i="1"/>
  <c r="AG10" i="1"/>
  <c r="AG185" i="1"/>
  <c r="AP10" i="1"/>
  <c r="AP113" i="1"/>
  <c r="F11" i="1"/>
  <c r="H11" i="1" s="1"/>
  <c r="G11" i="1"/>
  <c r="O11" i="1"/>
  <c r="O191" i="1"/>
  <c r="X165" i="1"/>
  <c r="Y165" i="1"/>
  <c r="AG11" i="1"/>
  <c r="AH11" i="1"/>
  <c r="AG186" i="1"/>
  <c r="AP11" i="1"/>
  <c r="AP114" i="1"/>
  <c r="F12" i="1"/>
  <c r="O12" i="1"/>
  <c r="P12" i="1"/>
  <c r="O192" i="1"/>
  <c r="P192" i="1"/>
  <c r="X166" i="1"/>
  <c r="AG12" i="1"/>
  <c r="AG187" i="1"/>
  <c r="AP12" i="1"/>
  <c r="AP115" i="1"/>
  <c r="F13" i="1"/>
  <c r="O13" i="1"/>
  <c r="O193" i="1"/>
  <c r="X167" i="1"/>
  <c r="AG13" i="1"/>
  <c r="AG188" i="1"/>
  <c r="AP13" i="1"/>
  <c r="AQ13" i="1"/>
  <c r="AQ14" i="1" s="1"/>
  <c r="AP116" i="1"/>
  <c r="F14" i="1"/>
  <c r="G14" i="1"/>
  <c r="O14" i="1"/>
  <c r="O194" i="1"/>
  <c r="P194" i="1"/>
  <c r="X168" i="1"/>
  <c r="AG14" i="1"/>
  <c r="AG189" i="1"/>
  <c r="AO14" i="1"/>
  <c r="AP117" i="1"/>
  <c r="F15" i="1"/>
  <c r="O15" i="1"/>
  <c r="O195" i="1"/>
  <c r="Q195" i="1" s="1"/>
  <c r="P195" i="1"/>
  <c r="X169" i="1"/>
  <c r="AG15" i="1"/>
  <c r="AH15" i="1"/>
  <c r="AG190" i="1"/>
  <c r="AP118" i="1"/>
  <c r="F16" i="1"/>
  <c r="O16" i="1"/>
  <c r="P16" i="1"/>
  <c r="O196" i="1"/>
  <c r="Q196" i="1" s="1"/>
  <c r="P196" i="1"/>
  <c r="X170" i="1"/>
  <c r="Y170" i="1"/>
  <c r="AG16" i="1"/>
  <c r="AG191" i="1"/>
  <c r="AP119" i="1"/>
  <c r="F17" i="1"/>
  <c r="O17" i="1"/>
  <c r="O197" i="1"/>
  <c r="Q197" i="1" s="1"/>
  <c r="P197" i="1"/>
  <c r="X171" i="1"/>
  <c r="AG17" i="1"/>
  <c r="AG192" i="1"/>
  <c r="AP120" i="1"/>
  <c r="F18" i="1"/>
  <c r="O18" i="1"/>
  <c r="O198" i="1"/>
  <c r="Q198" i="1" s="1"/>
  <c r="P198" i="1"/>
  <c r="X172" i="1"/>
  <c r="AG18" i="1"/>
  <c r="AG193" i="1"/>
  <c r="AP121" i="1"/>
  <c r="F19" i="1"/>
  <c r="O19" i="1"/>
  <c r="O199" i="1"/>
  <c r="X173" i="1"/>
  <c r="AG19" i="1"/>
  <c r="AG194" i="1"/>
  <c r="AP122" i="1"/>
  <c r="F20" i="1"/>
  <c r="G20" i="1"/>
  <c r="O20" i="1"/>
  <c r="O200" i="1"/>
  <c r="X174" i="1"/>
  <c r="AG20" i="1"/>
  <c r="AG195" i="1"/>
  <c r="AH195" i="1"/>
  <c r="AP123" i="1"/>
  <c r="AQ123" i="1"/>
  <c r="F21" i="1"/>
  <c r="O21" i="1"/>
  <c r="O201" i="1"/>
  <c r="X175" i="1"/>
  <c r="AG21" i="1"/>
  <c r="AH21" i="1"/>
  <c r="AG196" i="1"/>
  <c r="AI196" i="1" s="1"/>
  <c r="AH196" i="1"/>
  <c r="AP124" i="1"/>
  <c r="F22" i="1"/>
  <c r="O22" i="1"/>
  <c r="O202" i="1"/>
  <c r="P202" i="1"/>
  <c r="X176" i="1"/>
  <c r="AG22" i="1"/>
  <c r="AG197" i="1"/>
  <c r="AI197" i="1" s="1"/>
  <c r="AH197" i="1"/>
  <c r="AP125" i="1"/>
  <c r="F23" i="1"/>
  <c r="G23" i="1"/>
  <c r="O23" i="1"/>
  <c r="P23" i="1"/>
  <c r="N203" i="1"/>
  <c r="X177" i="1"/>
  <c r="Y177" i="1"/>
  <c r="AG23" i="1"/>
  <c r="AG198" i="1"/>
  <c r="AI198" i="1" s="1"/>
  <c r="AH198" i="1"/>
  <c r="AP23" i="1"/>
  <c r="AP126" i="1"/>
  <c r="F24" i="1"/>
  <c r="H24" i="1" s="1"/>
  <c r="O24" i="1"/>
  <c r="O204" i="1"/>
  <c r="X178" i="1"/>
  <c r="AG24" i="1"/>
  <c r="AG199" i="1"/>
  <c r="AI199" i="1" s="1"/>
  <c r="AH199" i="1"/>
  <c r="AP24" i="1"/>
  <c r="AP127" i="1"/>
  <c r="F25" i="1"/>
  <c r="O25" i="1"/>
  <c r="O205" i="1"/>
  <c r="P205" i="1"/>
  <c r="P206" i="1" s="1"/>
  <c r="X179" i="1"/>
  <c r="AG25" i="1"/>
  <c r="AG200" i="1"/>
  <c r="AP25" i="1"/>
  <c r="AP128" i="1"/>
  <c r="F26" i="1"/>
  <c r="O26" i="1"/>
  <c r="N206" i="1"/>
  <c r="X180" i="1"/>
  <c r="AG26" i="1"/>
  <c r="AG201" i="1"/>
  <c r="AH201" i="1"/>
  <c r="AP26" i="1"/>
  <c r="AP129" i="1"/>
  <c r="E27" i="1"/>
  <c r="D105" i="1" s="1"/>
  <c r="O27" i="1"/>
  <c r="X181" i="1"/>
  <c r="AG27" i="1"/>
  <c r="AG202" i="1"/>
  <c r="AI202" i="1" s="1"/>
  <c r="AH202" i="1"/>
  <c r="AP27" i="1"/>
  <c r="AQ27" i="1"/>
  <c r="AP130" i="1"/>
  <c r="O28" i="1"/>
  <c r="X182" i="1"/>
  <c r="Y182" i="1"/>
  <c r="AG28" i="1"/>
  <c r="AG203" i="1"/>
  <c r="AI203" i="1" s="1"/>
  <c r="AH203" i="1"/>
  <c r="AP28" i="1"/>
  <c r="AP131" i="1"/>
  <c r="O29" i="1"/>
  <c r="X183" i="1"/>
  <c r="AG29" i="1"/>
  <c r="AG204" i="1"/>
  <c r="AI204" i="1" s="1"/>
  <c r="AH204" i="1"/>
  <c r="AP29" i="1"/>
  <c r="AP132" i="1"/>
  <c r="O30" i="1"/>
  <c r="X184" i="1"/>
  <c r="AG30" i="1"/>
  <c r="AH30" i="1"/>
  <c r="AG205" i="1"/>
  <c r="AP30" i="1"/>
  <c r="AP133" i="1"/>
  <c r="O31" i="1"/>
  <c r="X185" i="1"/>
  <c r="AG31" i="1"/>
  <c r="AG206" i="1"/>
  <c r="AH206" i="1"/>
  <c r="AP31" i="1"/>
  <c r="AP134" i="1"/>
  <c r="O32" i="1"/>
  <c r="P32" i="1"/>
  <c r="X186" i="1"/>
  <c r="AG32" i="1"/>
  <c r="AG207" i="1"/>
  <c r="AI207" i="1" s="1"/>
  <c r="AH207" i="1"/>
  <c r="AP32" i="1"/>
  <c r="AP135" i="1"/>
  <c r="O33" i="1"/>
  <c r="X187" i="1"/>
  <c r="AG33" i="1"/>
  <c r="AG208" i="1"/>
  <c r="AI208" i="1" s="1"/>
  <c r="AH208" i="1"/>
  <c r="AP33" i="1"/>
  <c r="AQ33" i="1"/>
  <c r="AP136" i="1"/>
  <c r="O34" i="1"/>
  <c r="X188" i="1"/>
  <c r="AG34" i="1"/>
  <c r="AG209" i="1"/>
  <c r="AH209" i="1"/>
  <c r="AE213" i="1" s="1"/>
  <c r="AP34" i="1"/>
  <c r="AP137" i="1"/>
  <c r="O35" i="1"/>
  <c r="X189" i="1"/>
  <c r="Y189" i="1"/>
  <c r="AG35" i="1"/>
  <c r="AF210" i="1"/>
  <c r="AE318" i="1" s="1"/>
  <c r="AP35" i="1"/>
  <c r="AP138" i="1"/>
  <c r="F36" i="1"/>
  <c r="O36" i="1"/>
  <c r="P36" i="1"/>
  <c r="O216" i="1"/>
  <c r="X190" i="1"/>
  <c r="AG36" i="1"/>
  <c r="AP36" i="1"/>
  <c r="AP139" i="1"/>
  <c r="F37" i="1"/>
  <c r="O37" i="1"/>
  <c r="O217" i="1"/>
  <c r="X191" i="1"/>
  <c r="Y191" i="1"/>
  <c r="AG37" i="1"/>
  <c r="AH37" i="1"/>
  <c r="AP37" i="1"/>
  <c r="AP140" i="1"/>
  <c r="F38" i="1"/>
  <c r="O38" i="1"/>
  <c r="O218" i="1"/>
  <c r="X192" i="1"/>
  <c r="AG38" i="1"/>
  <c r="AP38" i="1"/>
  <c r="AP141" i="1"/>
  <c r="F39" i="1"/>
  <c r="G39" i="1"/>
  <c r="O39" i="1"/>
  <c r="O219" i="1"/>
  <c r="P219" i="1"/>
  <c r="X193" i="1"/>
  <c r="AG39" i="1"/>
  <c r="AP39" i="1"/>
  <c r="AQ39" i="1"/>
  <c r="AP142" i="1"/>
  <c r="F40" i="1"/>
  <c r="H40" i="1" s="1"/>
  <c r="G40" i="1"/>
  <c r="O40" i="1"/>
  <c r="O220" i="1"/>
  <c r="P220" i="1"/>
  <c r="X194" i="1"/>
  <c r="AG40" i="1"/>
  <c r="AP40" i="1"/>
  <c r="AP143" i="1"/>
  <c r="F41" i="1"/>
  <c r="O41" i="1"/>
  <c r="P41" i="1"/>
  <c r="O221" i="1"/>
  <c r="Q221" i="1" s="1"/>
  <c r="P221" i="1"/>
  <c r="X195" i="1"/>
  <c r="AG41" i="1"/>
  <c r="AP41" i="1"/>
  <c r="AP144" i="1"/>
  <c r="F42" i="1"/>
  <c r="O42" i="1"/>
  <c r="O222" i="1"/>
  <c r="Q222" i="1" s="1"/>
  <c r="P222" i="1"/>
  <c r="X196" i="1"/>
  <c r="AG42" i="1"/>
  <c r="AP42" i="1"/>
  <c r="AP145" i="1"/>
  <c r="F43" i="1"/>
  <c r="O43" i="1"/>
  <c r="O223" i="1"/>
  <c r="Q223" i="1" s="1"/>
  <c r="P223" i="1"/>
  <c r="X197" i="1"/>
  <c r="Y197" i="1"/>
  <c r="AG43" i="1"/>
  <c r="AH43" i="1"/>
  <c r="AP43" i="1"/>
  <c r="AP146" i="1"/>
  <c r="F44" i="1"/>
  <c r="O44" i="1"/>
  <c r="O224" i="1"/>
  <c r="X198" i="1"/>
  <c r="AG44" i="1"/>
  <c r="AP44" i="1"/>
  <c r="AQ44" i="1"/>
  <c r="AP147" i="1"/>
  <c r="F45" i="1"/>
  <c r="O45" i="1"/>
  <c r="O225" i="1"/>
  <c r="X199" i="1"/>
  <c r="AG45" i="1"/>
  <c r="AP45" i="1"/>
  <c r="AR45" i="1" s="1"/>
  <c r="AQ45" i="1"/>
  <c r="AP148" i="1"/>
  <c r="F46" i="1"/>
  <c r="O46" i="1"/>
  <c r="O226" i="1"/>
  <c r="P226" i="1"/>
  <c r="X200" i="1"/>
  <c r="Y200" i="1"/>
  <c r="AG46" i="1"/>
  <c r="AG221" i="1"/>
  <c r="AP46" i="1"/>
  <c r="AP149" i="1"/>
  <c r="F47" i="1"/>
  <c r="O47" i="1"/>
  <c r="O227" i="1"/>
  <c r="W201" i="1"/>
  <c r="V317" i="1" s="1"/>
  <c r="AG47" i="1"/>
  <c r="AG222" i="1"/>
  <c r="AP47" i="1"/>
  <c r="AP150" i="1"/>
  <c r="F48" i="1"/>
  <c r="O48" i="1"/>
  <c r="O228" i="1"/>
  <c r="P228" i="1"/>
  <c r="AG48" i="1"/>
  <c r="AG223" i="1"/>
  <c r="AP48" i="1"/>
  <c r="AP151" i="1"/>
  <c r="F49" i="1"/>
  <c r="G49" i="1"/>
  <c r="O49" i="1"/>
  <c r="O229" i="1"/>
  <c r="AG49" i="1"/>
  <c r="AH49" i="1"/>
  <c r="AG224" i="1"/>
  <c r="AP49" i="1"/>
  <c r="AQ49" i="1"/>
  <c r="AP152" i="1"/>
  <c r="F50" i="1"/>
  <c r="O50" i="1"/>
  <c r="O230" i="1"/>
  <c r="AG50" i="1"/>
  <c r="AG225" i="1"/>
  <c r="AP50" i="1"/>
  <c r="AR50" i="1" s="1"/>
  <c r="AQ50" i="1"/>
  <c r="AP153" i="1"/>
  <c r="F51" i="1"/>
  <c r="O51" i="1"/>
  <c r="P51" i="1"/>
  <c r="O231" i="1"/>
  <c r="AG51" i="1"/>
  <c r="AG226" i="1"/>
  <c r="AP51" i="1"/>
  <c r="AP154" i="1"/>
  <c r="F52" i="1"/>
  <c r="O52" i="1"/>
  <c r="O232" i="1"/>
  <c r="P232" i="1"/>
  <c r="AG52" i="1"/>
  <c r="AG227" i="1"/>
  <c r="AP52" i="1"/>
  <c r="AP155" i="1"/>
  <c r="F53" i="1"/>
  <c r="O53" i="1"/>
  <c r="O233" i="1"/>
  <c r="AG53" i="1"/>
  <c r="AG228" i="1"/>
  <c r="AP53" i="1"/>
  <c r="AQ53" i="1"/>
  <c r="AP156" i="1"/>
  <c r="F54" i="1"/>
  <c r="O54" i="1"/>
  <c r="O234" i="1"/>
  <c r="P234" i="1"/>
  <c r="AG54" i="1"/>
  <c r="AH54" i="1"/>
  <c r="AG229" i="1"/>
  <c r="AP54" i="1"/>
  <c r="AP157" i="1"/>
  <c r="F55" i="1"/>
  <c r="O55" i="1"/>
  <c r="N235" i="1"/>
  <c r="M281" i="1" s="1"/>
  <c r="AF55" i="1"/>
  <c r="AE171" i="1" s="1"/>
  <c r="AG230" i="1"/>
  <c r="AP55" i="1"/>
  <c r="AP158" i="1"/>
  <c r="F56" i="1"/>
  <c r="G56" i="1"/>
  <c r="O56" i="1"/>
  <c r="X210" i="1"/>
  <c r="AG231" i="1"/>
  <c r="AP56" i="1"/>
  <c r="AP159" i="1"/>
  <c r="F57" i="1"/>
  <c r="H57" i="1" s="1"/>
  <c r="O57" i="1"/>
  <c r="X211" i="1"/>
  <c r="AG232" i="1"/>
  <c r="AP57" i="1"/>
  <c r="AP160" i="1"/>
  <c r="F60" i="1"/>
  <c r="O58" i="1"/>
  <c r="X212" i="1"/>
  <c r="Y212" i="1"/>
  <c r="AG233" i="1"/>
  <c r="AP58" i="1"/>
  <c r="AP161" i="1"/>
  <c r="F58" i="1"/>
  <c r="O59" i="1"/>
  <c r="P59" i="1"/>
  <c r="X213" i="1"/>
  <c r="AG234" i="1"/>
  <c r="AH234" i="1"/>
  <c r="AP59" i="1"/>
  <c r="AQ59" i="1"/>
  <c r="AP162" i="1"/>
  <c r="F59" i="1"/>
  <c r="O60" i="1"/>
  <c r="X214" i="1"/>
  <c r="AG235" i="1"/>
  <c r="AP60" i="1"/>
  <c r="AP163" i="1"/>
  <c r="F61" i="1"/>
  <c r="G61" i="1"/>
  <c r="O61" i="1"/>
  <c r="P61" i="1"/>
  <c r="X215" i="1"/>
  <c r="AG236" i="1"/>
  <c r="AI236" i="1" s="1"/>
  <c r="AH236" i="1"/>
  <c r="AP61" i="1"/>
  <c r="AP164" i="1"/>
  <c r="E62" i="1"/>
  <c r="D106" i="1" s="1"/>
  <c r="N62" i="1"/>
  <c r="M176" i="1" s="1"/>
  <c r="X216" i="1"/>
  <c r="AG237" i="1"/>
  <c r="AI237" i="1" s="1"/>
  <c r="AH237" i="1"/>
  <c r="AP62" i="1"/>
  <c r="AP165" i="1"/>
  <c r="X217" i="1"/>
  <c r="Y217" i="1"/>
  <c r="AG238" i="1"/>
  <c r="AP63" i="1"/>
  <c r="AP166" i="1"/>
  <c r="O244" i="1"/>
  <c r="Q244" i="1" s="1"/>
  <c r="P244" i="1"/>
  <c r="X218" i="1"/>
  <c r="AG64" i="1"/>
  <c r="AG239" i="1"/>
  <c r="AP64" i="1"/>
  <c r="AP167" i="1"/>
  <c r="O245" i="1"/>
  <c r="X219" i="1"/>
  <c r="AG65" i="1"/>
  <c r="AG240" i="1"/>
  <c r="AP65" i="1"/>
  <c r="AP168" i="1"/>
  <c r="AQ168" i="1"/>
  <c r="O246" i="1"/>
  <c r="P246" i="1"/>
  <c r="X220" i="1"/>
  <c r="AG66" i="1"/>
  <c r="AH66" i="1"/>
  <c r="AG241" i="1"/>
  <c r="AH241" i="1"/>
  <c r="AP66" i="1"/>
  <c r="AQ66" i="1"/>
  <c r="AO169" i="1"/>
  <c r="AN305" i="1" s="1"/>
  <c r="O247" i="1"/>
  <c r="X221" i="1"/>
  <c r="AG67" i="1"/>
  <c r="AG242" i="1"/>
  <c r="AO67" i="1"/>
  <c r="AN99" i="1" s="1"/>
  <c r="O248" i="1"/>
  <c r="X222" i="1"/>
  <c r="AG68" i="1"/>
  <c r="AG243" i="1"/>
  <c r="AH243" i="1"/>
  <c r="O249" i="1"/>
  <c r="P249" i="1"/>
  <c r="X223" i="1"/>
  <c r="AG69" i="1"/>
  <c r="AG244" i="1"/>
  <c r="O250" i="1"/>
  <c r="Q250" i="1" s="1"/>
  <c r="P250" i="1"/>
  <c r="X224" i="1"/>
  <c r="Y224" i="1"/>
  <c r="AG70" i="1"/>
  <c r="AG245" i="1"/>
  <c r="AH245" i="1"/>
  <c r="F71" i="1"/>
  <c r="O71" i="1"/>
  <c r="O251" i="1"/>
  <c r="X225" i="1"/>
  <c r="AG71" i="1"/>
  <c r="AH71" i="1"/>
  <c r="AG246" i="1"/>
  <c r="F72" i="1"/>
  <c r="O72" i="1"/>
  <c r="O252" i="1"/>
  <c r="P252" i="1"/>
  <c r="X226" i="1"/>
  <c r="Y226" i="1"/>
  <c r="AG72" i="1"/>
  <c r="AG247" i="1"/>
  <c r="F73" i="1"/>
  <c r="O73" i="1"/>
  <c r="O253" i="1"/>
  <c r="X227" i="1"/>
  <c r="AG73" i="1"/>
  <c r="AG248" i="1"/>
  <c r="AH248" i="1"/>
  <c r="F74" i="1"/>
  <c r="O74" i="1"/>
  <c r="O254" i="1"/>
  <c r="P254" i="1"/>
  <c r="X228" i="1"/>
  <c r="AG74" i="1"/>
  <c r="AG249" i="1"/>
  <c r="F75" i="1"/>
  <c r="O75" i="1"/>
  <c r="P75" i="1"/>
  <c r="O255" i="1"/>
  <c r="Q255" i="1" s="1"/>
  <c r="P255" i="1"/>
  <c r="X229" i="1"/>
  <c r="AG75" i="1"/>
  <c r="AG250" i="1"/>
  <c r="AP178" i="1"/>
  <c r="F76" i="1"/>
  <c r="G76" i="1"/>
  <c r="O76" i="1"/>
  <c r="O256" i="1"/>
  <c r="X230" i="1"/>
  <c r="AG76" i="1"/>
  <c r="AG251" i="1"/>
  <c r="AH251" i="1"/>
  <c r="AP76" i="1"/>
  <c r="AP179" i="1"/>
  <c r="F77" i="1"/>
  <c r="O77" i="1"/>
  <c r="O257" i="1"/>
  <c r="X231" i="1"/>
  <c r="Y231" i="1"/>
  <c r="AG77" i="1"/>
  <c r="AG252" i="1"/>
  <c r="AP77" i="1"/>
  <c r="AP180" i="1"/>
  <c r="F78" i="1"/>
  <c r="G78" i="1"/>
  <c r="O78" i="1"/>
  <c r="O258" i="1"/>
  <c r="X232" i="1"/>
  <c r="AG78" i="1"/>
  <c r="AG253" i="1"/>
  <c r="AP78" i="1"/>
  <c r="AQ78" i="1"/>
  <c r="AP181" i="1"/>
  <c r="F79" i="1"/>
  <c r="O79" i="1"/>
  <c r="P79" i="1"/>
  <c r="O259" i="1"/>
  <c r="X233" i="1"/>
  <c r="AG79" i="1"/>
  <c r="AH79" i="1"/>
  <c r="AG254" i="1"/>
  <c r="AH254" i="1"/>
  <c r="AP79" i="1"/>
  <c r="AP182" i="1"/>
  <c r="F80" i="1"/>
  <c r="O80" i="1"/>
  <c r="O260" i="1"/>
  <c r="P260" i="1"/>
  <c r="X234" i="1"/>
  <c r="AG80" i="1"/>
  <c r="AG255" i="1"/>
  <c r="AI255" i="1" s="1"/>
  <c r="AH255" i="1"/>
  <c r="AP80" i="1"/>
  <c r="AP183" i="1"/>
  <c r="F81" i="1"/>
  <c r="O81" i="1"/>
  <c r="O261" i="1"/>
  <c r="X235" i="1"/>
  <c r="Y235" i="1"/>
  <c r="AG81" i="1"/>
  <c r="AG256" i="1"/>
  <c r="AP81" i="1"/>
  <c r="AP184" i="1"/>
  <c r="F82" i="1"/>
  <c r="O82" i="1"/>
  <c r="O262" i="1"/>
  <c r="X236" i="1"/>
  <c r="AG82" i="1"/>
  <c r="AG257" i="1"/>
  <c r="AH257" i="1"/>
  <c r="AP82" i="1"/>
  <c r="AQ82" i="1"/>
  <c r="AP185" i="1"/>
  <c r="F83" i="1"/>
  <c r="O83" i="1"/>
  <c r="O263" i="1"/>
  <c r="X237" i="1"/>
  <c r="Y237" i="1"/>
  <c r="AG83" i="1"/>
  <c r="AG258" i="1"/>
  <c r="AP83" i="1"/>
  <c r="AP186" i="1"/>
  <c r="F84" i="1"/>
  <c r="O84" i="1"/>
  <c r="O264" i="1"/>
  <c r="P264" i="1"/>
  <c r="X238" i="1"/>
  <c r="AG84" i="1"/>
  <c r="AH84" i="1"/>
  <c r="AG259" i="1"/>
  <c r="AP84" i="1"/>
  <c r="AP187" i="1"/>
  <c r="F85" i="1"/>
  <c r="O85" i="1"/>
  <c r="O265" i="1"/>
  <c r="X239" i="1"/>
  <c r="AG85" i="1"/>
  <c r="AG260" i="1"/>
  <c r="AP85" i="1"/>
  <c r="AP188" i="1"/>
  <c r="F86" i="1"/>
  <c r="O86" i="1"/>
  <c r="P86" i="1"/>
  <c r="O266" i="1"/>
  <c r="P266" i="1"/>
  <c r="X240" i="1"/>
  <c r="AG86" i="1"/>
  <c r="AG261" i="1"/>
  <c r="AH261" i="1"/>
  <c r="AP86" i="1"/>
  <c r="AQ86" i="1"/>
  <c r="AP189" i="1"/>
  <c r="F87" i="1"/>
  <c r="G87" i="1"/>
  <c r="O87" i="1"/>
  <c r="O267" i="1"/>
  <c r="X241" i="1"/>
  <c r="Y241" i="1"/>
  <c r="AG87" i="1"/>
  <c r="AF262" i="1"/>
  <c r="AE319" i="1" s="1"/>
  <c r="AP87" i="1"/>
  <c r="AP190" i="1"/>
  <c r="F88" i="1"/>
  <c r="O88" i="1"/>
  <c r="O268" i="1"/>
  <c r="X242" i="1"/>
  <c r="AG88" i="1"/>
  <c r="AP88" i="1"/>
  <c r="AQ88" i="1"/>
  <c r="AP191" i="1"/>
  <c r="F89" i="1"/>
  <c r="O89" i="1"/>
  <c r="O269" i="1"/>
  <c r="X243" i="1"/>
  <c r="AG89" i="1"/>
  <c r="AP89" i="1"/>
  <c r="AR89" i="1" s="1"/>
  <c r="AQ89" i="1"/>
  <c r="AP192" i="1"/>
  <c r="F90" i="1"/>
  <c r="O90" i="1"/>
  <c r="O270" i="1"/>
  <c r="P270" i="1"/>
  <c r="X244" i="1"/>
  <c r="Y244" i="1"/>
  <c r="AG90" i="1"/>
  <c r="AP90" i="1"/>
  <c r="AR90" i="1" s="1"/>
  <c r="AQ90" i="1"/>
  <c r="AP193" i="1"/>
  <c r="F91" i="1"/>
  <c r="O91" i="1"/>
  <c r="O271" i="1"/>
  <c r="Q271" i="1" s="1"/>
  <c r="P271" i="1"/>
  <c r="W245" i="1"/>
  <c r="V318" i="1" s="1"/>
  <c r="AG91" i="1"/>
  <c r="AH91" i="1"/>
  <c r="AP91" i="1"/>
  <c r="AR91" i="1" s="1"/>
  <c r="AQ91" i="1"/>
  <c r="AP194" i="1"/>
  <c r="F92" i="1"/>
  <c r="G92" i="1"/>
  <c r="O92" i="1"/>
  <c r="N272" i="1"/>
  <c r="AG92" i="1"/>
  <c r="AP92" i="1"/>
  <c r="AR92" i="1" s="1"/>
  <c r="AQ92" i="1"/>
  <c r="AP195" i="1"/>
  <c r="F93" i="1"/>
  <c r="O93" i="1"/>
  <c r="O273" i="1"/>
  <c r="AG93" i="1"/>
  <c r="AP93" i="1"/>
  <c r="AQ93" i="1"/>
  <c r="AP196" i="1"/>
  <c r="F94" i="1"/>
  <c r="G94" i="1"/>
  <c r="O94" i="1"/>
  <c r="O274" i="1"/>
  <c r="AG94" i="1"/>
  <c r="AG269" i="1"/>
  <c r="AP94" i="1"/>
  <c r="AQ94" i="1"/>
  <c r="AP197" i="1"/>
  <c r="F95" i="1"/>
  <c r="O95" i="1"/>
  <c r="O275" i="1"/>
  <c r="P275" i="1"/>
  <c r="P276" i="1" s="1"/>
  <c r="AG95" i="1"/>
  <c r="AG270" i="1"/>
  <c r="AO95" i="1"/>
  <c r="AN100" i="1" s="1"/>
  <c r="AP198" i="1"/>
  <c r="F96" i="1"/>
  <c r="O96" i="1"/>
  <c r="P96" i="1"/>
  <c r="N276" i="1"/>
  <c r="AG96" i="1"/>
  <c r="AH96" i="1"/>
  <c r="AG271" i="1"/>
  <c r="AP199" i="1"/>
  <c r="F100" i="1"/>
  <c r="O97" i="1"/>
  <c r="AG97" i="1"/>
  <c r="AH97" i="1"/>
  <c r="AG272" i="1"/>
  <c r="AP200" i="1"/>
  <c r="F101" i="1"/>
  <c r="O98" i="1"/>
  <c r="AG98" i="1"/>
  <c r="AG273" i="1"/>
  <c r="AP201" i="1"/>
  <c r="F97" i="1"/>
  <c r="O99" i="1"/>
  <c r="AG99" i="1"/>
  <c r="AG274" i="1"/>
  <c r="AP202" i="1"/>
  <c r="F98" i="1"/>
  <c r="O100" i="1"/>
  <c r="P100" i="1"/>
  <c r="X254" i="1"/>
  <c r="AG100" i="1"/>
  <c r="AG275" i="1"/>
  <c r="AP203" i="1"/>
  <c r="AQ203" i="1"/>
  <c r="F99" i="1"/>
  <c r="O101" i="1"/>
  <c r="X255" i="1"/>
  <c r="AG101" i="1"/>
  <c r="AG276" i="1"/>
  <c r="AP204" i="1"/>
  <c r="E102" i="1"/>
  <c r="D107" i="1" s="1"/>
  <c r="O102" i="1"/>
  <c r="X256" i="1"/>
  <c r="AG102" i="1"/>
  <c r="AH102" i="1"/>
  <c r="AG277" i="1"/>
  <c r="AP205" i="1"/>
  <c r="O103" i="1"/>
  <c r="X257" i="1"/>
  <c r="Y257" i="1"/>
  <c r="AG103" i="1"/>
  <c r="AG278" i="1"/>
  <c r="AP206" i="1"/>
  <c r="O104" i="1"/>
  <c r="X258" i="1"/>
  <c r="AG104" i="1"/>
  <c r="AG279" i="1"/>
  <c r="AP207" i="1"/>
  <c r="O105" i="1"/>
  <c r="P105" i="1"/>
  <c r="X259" i="1"/>
  <c r="AG105" i="1"/>
  <c r="AG280" i="1"/>
  <c r="AP208" i="1"/>
  <c r="O106" i="1"/>
  <c r="X260" i="1"/>
  <c r="AG106" i="1"/>
  <c r="AG281" i="1"/>
  <c r="AP209" i="1"/>
  <c r="O107" i="1"/>
  <c r="X261" i="1"/>
  <c r="Y261" i="1"/>
  <c r="AG107" i="1"/>
  <c r="AG282" i="1"/>
  <c r="AP210" i="1"/>
  <c r="O108" i="1"/>
  <c r="X262" i="1"/>
  <c r="AG108" i="1"/>
  <c r="AH108" i="1"/>
  <c r="AG283" i="1"/>
  <c r="AP211" i="1"/>
  <c r="O109" i="1"/>
  <c r="P109" i="1"/>
  <c r="X263" i="1"/>
  <c r="AF109" i="1"/>
  <c r="AE172" i="1" s="1"/>
  <c r="AG284" i="1"/>
  <c r="AP212" i="1"/>
  <c r="N110" i="1"/>
  <c r="M177" i="1" s="1"/>
  <c r="X264" i="1"/>
  <c r="AG285" i="1"/>
  <c r="AP213" i="1"/>
  <c r="X265" i="1"/>
  <c r="AG286" i="1"/>
  <c r="AP214" i="1"/>
  <c r="X266" i="1"/>
  <c r="AG287" i="1"/>
  <c r="AH287" i="1"/>
  <c r="AP215" i="1"/>
  <c r="X8" i="1"/>
  <c r="X267" i="1"/>
  <c r="AG288" i="1"/>
  <c r="AP216" i="1"/>
  <c r="X9" i="1"/>
  <c r="X268" i="1"/>
  <c r="AG289" i="1"/>
  <c r="AH289" i="1"/>
  <c r="AP217" i="1"/>
  <c r="X10" i="1"/>
  <c r="X269" i="1"/>
  <c r="AG290" i="1"/>
  <c r="AP218" i="1"/>
  <c r="X11" i="1"/>
  <c r="Y11" i="1"/>
  <c r="X270" i="1"/>
  <c r="Y270" i="1"/>
  <c r="AG291" i="1"/>
  <c r="AP219" i="1"/>
  <c r="X12" i="1"/>
  <c r="X271" i="1"/>
  <c r="AG292" i="1"/>
  <c r="AH292" i="1"/>
  <c r="AP220" i="1"/>
  <c r="F118" i="1"/>
  <c r="X13" i="1"/>
  <c r="X272" i="1"/>
  <c r="AG118" i="1"/>
  <c r="AG293" i="1"/>
  <c r="AI293" i="1" s="1"/>
  <c r="AH293" i="1"/>
  <c r="AP221" i="1"/>
  <c r="F119" i="1"/>
  <c r="O119" i="1"/>
  <c r="X14" i="1"/>
  <c r="X273" i="1"/>
  <c r="AG119" i="1"/>
  <c r="AG294" i="1"/>
  <c r="AP222" i="1"/>
  <c r="F120" i="1"/>
  <c r="O120" i="1"/>
  <c r="X15" i="1"/>
  <c r="X274" i="1"/>
  <c r="AG120" i="1"/>
  <c r="AG295" i="1"/>
  <c r="AP223" i="1"/>
  <c r="F121" i="1"/>
  <c r="G121" i="1"/>
  <c r="O121" i="1"/>
  <c r="X16" i="1"/>
  <c r="Y16" i="1"/>
  <c r="X275" i="1"/>
  <c r="AG121" i="1"/>
  <c r="AG296" i="1"/>
  <c r="AH296" i="1"/>
  <c r="AP224" i="1"/>
  <c r="F122" i="1"/>
  <c r="O122" i="1"/>
  <c r="X17" i="1"/>
  <c r="X276" i="1"/>
  <c r="AG122" i="1"/>
  <c r="AG297" i="1"/>
  <c r="AI297" i="1" s="1"/>
  <c r="AH297" i="1"/>
  <c r="AP225" i="1"/>
  <c r="F123" i="1"/>
  <c r="O123" i="1"/>
  <c r="X18" i="1"/>
  <c r="X277" i="1"/>
  <c r="AG123" i="1"/>
  <c r="AH123" i="1"/>
  <c r="AG298" i="1"/>
  <c r="AP226" i="1"/>
  <c r="F124" i="1"/>
  <c r="O124" i="1"/>
  <c r="X19" i="1"/>
  <c r="X278" i="1"/>
  <c r="AG124" i="1"/>
  <c r="AG299" i="1"/>
  <c r="AP227" i="1"/>
  <c r="F125" i="1"/>
  <c r="O125" i="1"/>
  <c r="P125" i="1"/>
  <c r="X20" i="1"/>
  <c r="X279" i="1"/>
  <c r="AG125" i="1"/>
  <c r="AG300" i="1"/>
  <c r="AH300" i="1"/>
  <c r="AP228" i="1"/>
  <c r="F126" i="1"/>
  <c r="O126" i="1"/>
  <c r="X21" i="1"/>
  <c r="X280" i="1"/>
  <c r="AG126" i="1"/>
  <c r="AG301" i="1"/>
  <c r="AH301" i="1"/>
  <c r="AP229" i="1"/>
  <c r="F127" i="1"/>
  <c r="O127" i="1"/>
  <c r="X22" i="1"/>
  <c r="Y22" i="1"/>
  <c r="X281" i="1"/>
  <c r="Y281" i="1"/>
  <c r="AG127" i="1"/>
  <c r="AG302" i="1"/>
  <c r="AP230" i="1"/>
  <c r="F128" i="1"/>
  <c r="G128" i="1"/>
  <c r="O128" i="1"/>
  <c r="X23" i="1"/>
  <c r="X282" i="1"/>
  <c r="AG128" i="1"/>
  <c r="AG303" i="1"/>
  <c r="AP231" i="1"/>
  <c r="F129" i="1"/>
  <c r="O129" i="1"/>
  <c r="X24" i="1"/>
  <c r="X283" i="1"/>
  <c r="AG129" i="1"/>
  <c r="AG304" i="1"/>
  <c r="AP232" i="1"/>
  <c r="F130" i="1"/>
  <c r="O130" i="1"/>
  <c r="X25" i="1"/>
  <c r="X284" i="1"/>
  <c r="AG130" i="1"/>
  <c r="AH130" i="1"/>
  <c r="AG305" i="1"/>
  <c r="AP233" i="1"/>
  <c r="F131" i="1"/>
  <c r="O131" i="1"/>
  <c r="P131" i="1"/>
  <c r="X26" i="1"/>
  <c r="X285" i="1"/>
  <c r="AG131" i="1"/>
  <c r="AG306" i="1"/>
  <c r="AP234" i="1"/>
  <c r="F132" i="1"/>
  <c r="O132" i="1"/>
  <c r="X27" i="1"/>
  <c r="Y27" i="1"/>
  <c r="X286" i="1"/>
  <c r="AG132" i="1"/>
  <c r="AG307" i="1"/>
  <c r="AH307" i="1"/>
  <c r="AP235" i="1"/>
  <c r="F133" i="1"/>
  <c r="O133" i="1"/>
  <c r="X28" i="1"/>
  <c r="X287" i="1"/>
  <c r="AG133" i="1"/>
  <c r="AG308" i="1"/>
  <c r="AI308" i="1" s="1"/>
  <c r="AH308" i="1"/>
  <c r="AP236" i="1"/>
  <c r="F134" i="1"/>
  <c r="G134" i="1"/>
  <c r="O134" i="1"/>
  <c r="X29" i="1"/>
  <c r="X288" i="1"/>
  <c r="AG134" i="1"/>
  <c r="AG309" i="1"/>
  <c r="AP237" i="1"/>
  <c r="AQ237" i="1"/>
  <c r="F135" i="1"/>
  <c r="O135" i="1"/>
  <c r="X30" i="1"/>
  <c r="X289" i="1"/>
  <c r="AG135" i="1"/>
  <c r="AG310" i="1"/>
  <c r="AO238" i="1"/>
  <c r="AN306" i="1" s="1"/>
  <c r="F136" i="1"/>
  <c r="G136" i="1"/>
  <c r="O136" i="1"/>
  <c r="X31" i="1"/>
  <c r="Y31" i="1"/>
  <c r="X290" i="1"/>
  <c r="AG136" i="1"/>
  <c r="AG311" i="1"/>
  <c r="F137" i="1"/>
  <c r="O137" i="1"/>
  <c r="X32" i="1"/>
  <c r="X291" i="1"/>
  <c r="Y291" i="1"/>
  <c r="AG137" i="1"/>
  <c r="AG312" i="1"/>
  <c r="F138" i="1"/>
  <c r="G138" i="1"/>
  <c r="O138" i="1"/>
  <c r="X33" i="1"/>
  <c r="X292" i="1"/>
  <c r="AG138" i="1"/>
  <c r="AH138" i="1"/>
  <c r="AG313" i="1"/>
  <c r="F139" i="1"/>
  <c r="H139" i="1" s="1"/>
  <c r="G139" i="1"/>
  <c r="O139" i="1"/>
  <c r="X34" i="1"/>
  <c r="X293" i="1"/>
  <c r="AG139" i="1"/>
  <c r="AG314" i="1"/>
  <c r="AH314" i="1"/>
  <c r="F140" i="1"/>
  <c r="O140" i="1"/>
  <c r="X35" i="1"/>
  <c r="X294" i="1"/>
  <c r="AG140" i="1"/>
  <c r="AF315" i="1"/>
  <c r="AE320" i="1" s="1"/>
  <c r="F141" i="1"/>
  <c r="O141" i="1"/>
  <c r="X36" i="1"/>
  <c r="Y36" i="1"/>
  <c r="X295" i="1"/>
  <c r="AG141" i="1"/>
  <c r="F142" i="1"/>
  <c r="G142" i="1"/>
  <c r="O142" i="1"/>
  <c r="P142" i="1"/>
  <c r="X37" i="1"/>
  <c r="X296" i="1"/>
  <c r="AG142" i="1"/>
  <c r="F143" i="1"/>
  <c r="O143" i="1"/>
  <c r="X38" i="1"/>
  <c r="X297" i="1"/>
  <c r="Y297" i="1"/>
  <c r="AG143" i="1"/>
  <c r="F144" i="1"/>
  <c r="G144" i="1"/>
  <c r="O144" i="1"/>
  <c r="X39" i="1"/>
  <c r="X298" i="1"/>
  <c r="AG144" i="1"/>
  <c r="AP247" i="1"/>
  <c r="E145" i="1"/>
  <c r="D240" i="1" s="1"/>
  <c r="O145" i="1"/>
  <c r="X40" i="1"/>
  <c r="X299" i="1"/>
  <c r="AG145" i="1"/>
  <c r="AH145" i="1"/>
  <c r="AP248" i="1"/>
  <c r="O146" i="1"/>
  <c r="P146" i="1"/>
  <c r="X41" i="1"/>
  <c r="Y41" i="1"/>
  <c r="X300" i="1"/>
  <c r="AG146" i="1"/>
  <c r="AP249" i="1"/>
  <c r="O147" i="1"/>
  <c r="X42" i="1"/>
  <c r="X301" i="1"/>
  <c r="AG147" i="1"/>
  <c r="AP250" i="1"/>
  <c r="O148" i="1"/>
  <c r="X43" i="1"/>
  <c r="X302" i="1"/>
  <c r="AG148" i="1"/>
  <c r="AP251" i="1"/>
  <c r="O149" i="1"/>
  <c r="X44" i="1"/>
  <c r="X303" i="1"/>
  <c r="AG149" i="1"/>
  <c r="AP252" i="1"/>
  <c r="O150" i="1"/>
  <c r="X45" i="1"/>
  <c r="X304" i="1"/>
  <c r="Y304" i="1"/>
  <c r="AG150" i="1"/>
  <c r="AP253" i="1"/>
  <c r="O151" i="1"/>
  <c r="X46" i="1"/>
  <c r="X305" i="1"/>
  <c r="AG151" i="1"/>
  <c r="AP254" i="1"/>
  <c r="O152" i="1"/>
  <c r="X47" i="1"/>
  <c r="Y47" i="1"/>
  <c r="X306" i="1"/>
  <c r="AG152" i="1"/>
  <c r="AP255" i="1"/>
  <c r="O153" i="1"/>
  <c r="X48" i="1"/>
  <c r="X307" i="1"/>
  <c r="AG153" i="1"/>
  <c r="AH153" i="1"/>
  <c r="AP256" i="1"/>
  <c r="F154" i="1"/>
  <c r="O154" i="1"/>
  <c r="X49" i="1"/>
  <c r="X308" i="1"/>
  <c r="AG154" i="1"/>
  <c r="AP257" i="1"/>
  <c r="F155" i="1"/>
  <c r="O155" i="1"/>
  <c r="X50" i="1"/>
  <c r="X309" i="1"/>
  <c r="AG155" i="1"/>
  <c r="AP258" i="1"/>
  <c r="F156" i="1"/>
  <c r="O156" i="1"/>
  <c r="P156" i="1"/>
  <c r="X51" i="1"/>
  <c r="Y51" i="1"/>
  <c r="X310" i="1"/>
  <c r="AG156" i="1"/>
  <c r="AP259" i="1"/>
  <c r="F157" i="1"/>
  <c r="O157" i="1"/>
  <c r="W52" i="1"/>
  <c r="V150" i="1" s="1"/>
  <c r="X311" i="1"/>
  <c r="AG157" i="1"/>
  <c r="AP260" i="1"/>
  <c r="F158" i="1"/>
  <c r="O158" i="1"/>
  <c r="X312" i="1"/>
  <c r="AG158" i="1"/>
  <c r="AH158" i="1"/>
  <c r="AP261" i="1"/>
  <c r="F159" i="1"/>
  <c r="O159" i="1"/>
  <c r="X313" i="1"/>
  <c r="Y313" i="1"/>
  <c r="AG159" i="1"/>
  <c r="AP262" i="1"/>
  <c r="F160" i="1"/>
  <c r="O160" i="1"/>
  <c r="W314" i="1"/>
  <c r="V319" i="1" s="1"/>
  <c r="AG160" i="1"/>
  <c r="AP263" i="1"/>
  <c r="F161" i="1"/>
  <c r="G161" i="1"/>
  <c r="O161" i="1"/>
  <c r="P161" i="1"/>
  <c r="AG161" i="1"/>
  <c r="AP264" i="1"/>
  <c r="F162" i="1"/>
  <c r="H162" i="1" s="1"/>
  <c r="G162" i="1"/>
  <c r="O162" i="1"/>
  <c r="AG162" i="1"/>
  <c r="AP265" i="1"/>
  <c r="F163" i="1"/>
  <c r="O163" i="1"/>
  <c r="AG163" i="1"/>
  <c r="AH163" i="1"/>
  <c r="AP266" i="1"/>
  <c r="F164" i="1"/>
  <c r="O164" i="1"/>
  <c r="AG164" i="1"/>
  <c r="AP267" i="1"/>
  <c r="F165" i="1"/>
  <c r="O165" i="1"/>
  <c r="AG165" i="1"/>
  <c r="AP268" i="1"/>
  <c r="F166" i="1"/>
  <c r="O166" i="1"/>
  <c r="P166" i="1"/>
  <c r="X61" i="1"/>
  <c r="AG166" i="1"/>
  <c r="AP269" i="1"/>
  <c r="F167" i="1"/>
  <c r="O167" i="1"/>
  <c r="X62" i="1"/>
  <c r="Y62" i="1"/>
  <c r="AG167" i="1"/>
  <c r="AH167" i="1"/>
  <c r="AP270" i="1"/>
  <c r="F168" i="1"/>
  <c r="O168" i="1"/>
  <c r="X63" i="1"/>
  <c r="AF168" i="1"/>
  <c r="AE173" i="1" s="1"/>
  <c r="AP271" i="1"/>
  <c r="F169" i="1"/>
  <c r="O169" i="1"/>
  <c r="X64" i="1"/>
  <c r="AP272" i="1"/>
  <c r="F170" i="1"/>
  <c r="O170" i="1"/>
  <c r="X65" i="1"/>
  <c r="AP273" i="1"/>
  <c r="F171" i="1"/>
  <c r="G171" i="1"/>
  <c r="O171" i="1"/>
  <c r="X66" i="1"/>
  <c r="AP274" i="1"/>
  <c r="F172" i="1"/>
  <c r="O172" i="1"/>
  <c r="P172" i="1"/>
  <c r="X67" i="1"/>
  <c r="AP275" i="1"/>
  <c r="F173" i="1"/>
  <c r="N173" i="1"/>
  <c r="M178" i="1" s="1"/>
  <c r="X68" i="1"/>
  <c r="Y68" i="1"/>
  <c r="AP276" i="1"/>
  <c r="F174" i="1"/>
  <c r="X69" i="1"/>
  <c r="AP277" i="1"/>
  <c r="F175" i="1"/>
  <c r="X70" i="1"/>
  <c r="AP278" i="1"/>
  <c r="F176" i="1"/>
  <c r="X71" i="1"/>
  <c r="AP279" i="1"/>
  <c r="F177" i="1"/>
  <c r="G177" i="1"/>
  <c r="X72" i="1"/>
  <c r="AP280" i="1"/>
  <c r="F178" i="1"/>
  <c r="X73" i="1"/>
  <c r="AP281" i="1"/>
  <c r="F179" i="1"/>
  <c r="X74" i="1"/>
  <c r="AP282" i="1"/>
  <c r="AQ282" i="1"/>
  <c r="F180" i="1"/>
  <c r="G180" i="1"/>
  <c r="X75" i="1"/>
  <c r="Y75" i="1"/>
  <c r="F181" i="1"/>
  <c r="H181" i="1" s="1"/>
  <c r="G181" i="1"/>
  <c r="X76" i="1"/>
  <c r="AP284" i="1"/>
  <c r="F182" i="1"/>
  <c r="X77" i="1"/>
  <c r="AP285" i="1"/>
  <c r="F183" i="1"/>
  <c r="G183" i="1"/>
  <c r="X78" i="1"/>
  <c r="AP286" i="1"/>
  <c r="F184" i="1"/>
  <c r="X79" i="1"/>
  <c r="AP287" i="1"/>
  <c r="F185" i="1"/>
  <c r="G185" i="1"/>
  <c r="X80" i="1"/>
  <c r="AP288" i="1"/>
  <c r="F186" i="1"/>
  <c r="X81" i="1"/>
  <c r="AP289" i="1"/>
  <c r="F187" i="1"/>
  <c r="G187" i="1"/>
  <c r="X82" i="1"/>
  <c r="Y82" i="1"/>
  <c r="AP290" i="1"/>
  <c r="F188" i="1"/>
  <c r="X83" i="1"/>
  <c r="AP291" i="1"/>
  <c r="F189" i="1"/>
  <c r="X84" i="1"/>
  <c r="AP292" i="1"/>
  <c r="F190" i="1"/>
  <c r="X85" i="1"/>
  <c r="Y85" i="1"/>
  <c r="AP293" i="1"/>
  <c r="F191" i="1"/>
  <c r="X86" i="1"/>
  <c r="F192" i="1"/>
  <c r="X87" i="1"/>
  <c r="AP297" i="1"/>
  <c r="F193" i="1"/>
  <c r="G193" i="1"/>
  <c r="X88" i="1"/>
  <c r="AP295" i="1"/>
  <c r="E194" i="1"/>
  <c r="D241" i="1" s="1"/>
  <c r="X89" i="1"/>
  <c r="Y89" i="1"/>
  <c r="AP296" i="1"/>
  <c r="X90" i="1"/>
  <c r="Z90" i="1" s="1"/>
  <c r="Y90" i="1"/>
  <c r="AP298" i="1"/>
  <c r="X91" i="1"/>
  <c r="AP299" i="1"/>
  <c r="X92" i="1"/>
  <c r="AP300" i="1"/>
  <c r="X93" i="1"/>
  <c r="AP301" i="1"/>
  <c r="X94" i="1"/>
  <c r="X95" i="1"/>
  <c r="X96" i="1"/>
  <c r="X97" i="1"/>
  <c r="Y97" i="1"/>
  <c r="F203" i="1"/>
  <c r="X98" i="1"/>
  <c r="F204" i="1"/>
  <c r="X99" i="1"/>
  <c r="Y99" i="1"/>
  <c r="F205" i="1"/>
  <c r="G205" i="1"/>
  <c r="W100" i="1"/>
  <c r="V149" i="1" s="1"/>
  <c r="F206" i="1"/>
  <c r="H206" i="1" s="1"/>
  <c r="G206" i="1"/>
  <c r="F207" i="1"/>
  <c r="F208" i="1"/>
  <c r="F209" i="1"/>
  <c r="F210" i="1"/>
  <c r="F211" i="1"/>
  <c r="F212" i="1"/>
  <c r="G212" i="1"/>
  <c r="F213" i="1"/>
  <c r="F214" i="1"/>
  <c r="F215" i="1"/>
  <c r="X110" i="1"/>
  <c r="F216" i="1"/>
  <c r="X111" i="1"/>
  <c r="F217" i="1"/>
  <c r="G217" i="1"/>
  <c r="X112" i="1"/>
  <c r="F218" i="1"/>
  <c r="X113" i="1"/>
  <c r="Y113" i="1"/>
  <c r="F219" i="1"/>
  <c r="X114" i="1"/>
  <c r="F220" i="1"/>
  <c r="G220" i="1"/>
  <c r="X115" i="1"/>
  <c r="F221" i="1"/>
  <c r="X116" i="1"/>
  <c r="F222" i="1"/>
  <c r="G222" i="1"/>
  <c r="X117" i="1"/>
  <c r="F223" i="1"/>
  <c r="X118" i="1"/>
  <c r="Y118" i="1"/>
  <c r="F224" i="1"/>
  <c r="X119" i="1"/>
  <c r="F225" i="1"/>
  <c r="X120" i="1"/>
  <c r="F226" i="1"/>
  <c r="G226" i="1"/>
  <c r="X121" i="1"/>
  <c r="F227" i="1"/>
  <c r="H227" i="1" s="1"/>
  <c r="G227" i="1"/>
  <c r="X122" i="1"/>
  <c r="F228" i="1"/>
  <c r="X123" i="1"/>
  <c r="Y123" i="1"/>
  <c r="F229" i="1"/>
  <c r="X124" i="1"/>
  <c r="F230" i="1"/>
  <c r="X125" i="1"/>
  <c r="F231" i="1"/>
  <c r="X126" i="1"/>
  <c r="F232" i="1"/>
  <c r="X127" i="1"/>
  <c r="F233" i="1"/>
  <c r="X128" i="1"/>
  <c r="F234" i="1"/>
  <c r="X129" i="1"/>
  <c r="Y129" i="1"/>
  <c r="F235" i="1"/>
  <c r="X130" i="1"/>
  <c r="Y130" i="1"/>
  <c r="F236" i="1"/>
  <c r="G236" i="1"/>
  <c r="X131" i="1"/>
  <c r="E237" i="1"/>
  <c r="D242" i="1" s="1"/>
  <c r="X132" i="1"/>
  <c r="X133" i="1"/>
  <c r="X134" i="1"/>
  <c r="Y134" i="1"/>
  <c r="X135" i="1"/>
  <c r="X136" i="1"/>
  <c r="X137" i="1"/>
  <c r="Y137" i="1"/>
  <c r="X138" i="1"/>
  <c r="X139" i="1"/>
  <c r="X140" i="1"/>
  <c r="X141" i="1"/>
  <c r="X142" i="1"/>
  <c r="Y142" i="1"/>
  <c r="X143" i="1"/>
  <c r="X144" i="1"/>
  <c r="X145" i="1"/>
  <c r="Y145" i="1"/>
  <c r="W146" i="1"/>
  <c r="V151" i="1" s="1"/>
  <c r="BS213" i="1" l="1"/>
  <c r="BS214" i="1"/>
  <c r="BS216" i="1"/>
  <c r="BS215" i="1"/>
  <c r="BJ79" i="1"/>
  <c r="BJ391" i="1"/>
  <c r="BJ390" i="1"/>
  <c r="BJ389" i="1"/>
  <c r="BJ388" i="1"/>
  <c r="BJ190" i="1"/>
  <c r="AS310" i="1"/>
  <c r="BJ192" i="1"/>
  <c r="BJ191" i="1"/>
  <c r="BJ189" i="1"/>
  <c r="BA440" i="1"/>
  <c r="BA438" i="1"/>
  <c r="BA439" i="1"/>
  <c r="BA332" i="1"/>
  <c r="BA337" i="1"/>
  <c r="BA237" i="1"/>
  <c r="BA235" i="1"/>
  <c r="BA238" i="1"/>
  <c r="BA236" i="1"/>
  <c r="AS312" i="1"/>
  <c r="AS311" i="1"/>
  <c r="AS313" i="1"/>
  <c r="AQ305" i="1"/>
  <c r="AA317" i="1"/>
  <c r="AI301" i="1"/>
  <c r="AJ320" i="1"/>
  <c r="AR93" i="1"/>
  <c r="AS99" i="1"/>
  <c r="AR94" i="1"/>
  <c r="AI209" i="1"/>
  <c r="AF213" i="1" s="1"/>
  <c r="AJ318" i="1"/>
  <c r="AN98" i="1"/>
  <c r="AR98" i="1"/>
  <c r="AR100" i="1" s="1"/>
  <c r="AN307" i="1"/>
  <c r="AN308" i="1" s="1"/>
  <c r="AJ319" i="1"/>
  <c r="R286" i="1"/>
  <c r="AA150" i="1"/>
  <c r="Z130" i="1"/>
  <c r="AA149" i="1"/>
  <c r="AA318" i="1"/>
  <c r="AA319" i="1" s="1"/>
  <c r="AJ172" i="1"/>
  <c r="AI97" i="1"/>
  <c r="AJ171" i="1"/>
  <c r="R285" i="1"/>
  <c r="R177" i="1"/>
  <c r="I240" i="1"/>
  <c r="R176" i="1"/>
  <c r="H101" i="1"/>
  <c r="R284" i="1"/>
  <c r="I241" i="1"/>
  <c r="H99" i="1"/>
  <c r="H59" i="1"/>
  <c r="AQ169" i="1"/>
  <c r="H26" i="1"/>
  <c r="BG390" i="1"/>
  <c r="BJ303" i="1"/>
  <c r="BJ307" i="1"/>
  <c r="BG391" i="1"/>
  <c r="I106" i="1"/>
  <c r="BO209" i="1"/>
  <c r="BO212" i="1" s="1"/>
  <c r="I105" i="1"/>
  <c r="H107" i="1"/>
  <c r="BR211" i="1"/>
  <c r="BS44" i="1"/>
  <c r="BS209" i="1" s="1"/>
  <c r="BQ58" i="1"/>
  <c r="BR58" i="1"/>
  <c r="BS57" i="1"/>
  <c r="BS210" i="1" s="1"/>
  <c r="BI384" i="1"/>
  <c r="AR301" i="1"/>
  <c r="BF384" i="1"/>
  <c r="BF387" i="1" s="1"/>
  <c r="BI385" i="1"/>
  <c r="BI381" i="1"/>
  <c r="BJ380" i="1"/>
  <c r="BJ337" i="1"/>
  <c r="BH381" i="1"/>
  <c r="BG386" i="1" s="1"/>
  <c r="BJ236" i="1"/>
  <c r="BI244" i="1"/>
  <c r="BI308" i="1"/>
  <c r="BH308" i="1"/>
  <c r="BG385" i="1" s="1"/>
  <c r="BG81" i="1"/>
  <c r="BF185" i="1" s="1"/>
  <c r="BF188" i="1" s="1"/>
  <c r="BH80" i="1"/>
  <c r="BH134" i="1"/>
  <c r="BG186" i="1" s="1"/>
  <c r="BJ243" i="1"/>
  <c r="BI186" i="1"/>
  <c r="BI80" i="1"/>
  <c r="BI185" i="1" s="1"/>
  <c r="BJ133" i="1"/>
  <c r="BJ134" i="1" s="1"/>
  <c r="BJ181" i="1"/>
  <c r="BJ182" i="1" s="1"/>
  <c r="BH182" i="1"/>
  <c r="BG187" i="1" s="1"/>
  <c r="BH244" i="1"/>
  <c r="BG384" i="1" s="1"/>
  <c r="BI59" i="1"/>
  <c r="BH59" i="1"/>
  <c r="BJ58" i="1"/>
  <c r="BJ41" i="1"/>
  <c r="BJ17" i="1"/>
  <c r="AZ434" i="1"/>
  <c r="AZ442" i="1" s="1"/>
  <c r="AW437" i="1"/>
  <c r="AY431" i="1"/>
  <c r="AX436" i="1" s="1"/>
  <c r="AZ435" i="1"/>
  <c r="AZ431" i="1"/>
  <c r="BA375" i="1"/>
  <c r="BA430" i="1"/>
  <c r="BA117" i="1"/>
  <c r="BA319" i="1"/>
  <c r="AZ320" i="1"/>
  <c r="BA262" i="1"/>
  <c r="BA441" i="1" s="1"/>
  <c r="AY338" i="1"/>
  <c r="AX435" i="1" s="1"/>
  <c r="AY320" i="1"/>
  <c r="AX434" i="1" s="1"/>
  <c r="AZ230" i="1"/>
  <c r="AZ231" i="1"/>
  <c r="AW234" i="1"/>
  <c r="AZ228" i="1"/>
  <c r="BA150" i="1"/>
  <c r="BA227" i="1"/>
  <c r="AZ151" i="1"/>
  <c r="BA195" i="1"/>
  <c r="AY228" i="1"/>
  <c r="AX233" i="1" s="1"/>
  <c r="BA56" i="1"/>
  <c r="AZ84" i="1"/>
  <c r="AY84" i="1"/>
  <c r="AX231" i="1" s="1"/>
  <c r="AY151" i="1"/>
  <c r="AX232" i="1" s="1"/>
  <c r="BA83" i="1"/>
  <c r="Z217" i="1"/>
  <c r="AP302" i="1"/>
  <c r="AO307" i="1" s="1"/>
  <c r="AQ238" i="1"/>
  <c r="Z129" i="1"/>
  <c r="N12" i="2"/>
  <c r="N14" i="2" s="1"/>
  <c r="F6" i="2"/>
  <c r="F8" i="2" s="1"/>
  <c r="O4" i="2"/>
  <c r="Q192" i="1"/>
  <c r="Z212" i="1"/>
  <c r="V320" i="1"/>
  <c r="Z11" i="1"/>
  <c r="H144" i="1"/>
  <c r="Q264" i="1"/>
  <c r="Z191" i="1"/>
  <c r="N207" i="1"/>
  <c r="M280" i="1" s="1"/>
  <c r="Q194" i="1"/>
  <c r="G237" i="1"/>
  <c r="H187" i="1"/>
  <c r="Q172" i="1"/>
  <c r="Z62" i="1"/>
  <c r="AI167" i="1"/>
  <c r="Z51" i="1"/>
  <c r="N277" i="1"/>
  <c r="M282" i="1" s="1"/>
  <c r="Z237" i="1"/>
  <c r="AR78" i="1"/>
  <c r="AI248" i="1"/>
  <c r="AI245" i="1"/>
  <c r="AR82" i="1"/>
  <c r="AR123" i="1"/>
  <c r="Q100" i="1"/>
  <c r="AI84" i="1"/>
  <c r="H217" i="1"/>
  <c r="Z99" i="1"/>
  <c r="Z257" i="1"/>
  <c r="AN101" i="1"/>
  <c r="Q86" i="1"/>
  <c r="Q12" i="1"/>
  <c r="Z123" i="1"/>
  <c r="Z31" i="1"/>
  <c r="AI289" i="1"/>
  <c r="AI261" i="1"/>
  <c r="Q266" i="1"/>
  <c r="F102" i="1"/>
  <c r="E107" i="1" s="1"/>
  <c r="Q252" i="1"/>
  <c r="Q75" i="1"/>
  <c r="Z200" i="1"/>
  <c r="Z270" i="1"/>
  <c r="Z182" i="1"/>
  <c r="Q32" i="1"/>
  <c r="AE212" i="1"/>
  <c r="AE214" i="1" s="1"/>
  <c r="Z134" i="1"/>
  <c r="Z97" i="1"/>
  <c r="H180" i="1"/>
  <c r="Z68" i="1"/>
  <c r="AI314" i="1"/>
  <c r="Q275" i="1"/>
  <c r="Q276" i="1" s="1"/>
  <c r="O276" i="1"/>
  <c r="P110" i="1"/>
  <c r="AI241" i="1"/>
  <c r="Q36" i="1"/>
  <c r="AI206" i="1"/>
  <c r="AR33" i="1"/>
  <c r="H49" i="1"/>
  <c r="Y146" i="1"/>
  <c r="Z118" i="1"/>
  <c r="Z82" i="1"/>
  <c r="Y314" i="1"/>
  <c r="Q146" i="1"/>
  <c r="P173" i="1"/>
  <c r="Q131" i="1"/>
  <c r="Q202" i="1"/>
  <c r="Q23" i="1"/>
  <c r="Z113" i="1"/>
  <c r="H183" i="1"/>
  <c r="V152" i="1"/>
  <c r="Q156" i="1"/>
  <c r="Q125" i="1"/>
  <c r="Z16" i="1"/>
  <c r="H78" i="1"/>
  <c r="Q260" i="1"/>
  <c r="AR66" i="1"/>
  <c r="AI201" i="1"/>
  <c r="H23" i="1"/>
  <c r="AQ302" i="1"/>
  <c r="AH168" i="1"/>
  <c r="Z145" i="1"/>
  <c r="D243" i="1"/>
  <c r="H222" i="1"/>
  <c r="H205" i="1"/>
  <c r="F237" i="1"/>
  <c r="E242" i="1" s="1"/>
  <c r="G194" i="1"/>
  <c r="Z75" i="1"/>
  <c r="H177" i="1"/>
  <c r="Q166" i="1"/>
  <c r="X314" i="1"/>
  <c r="W319" i="1" s="1"/>
  <c r="Q161" i="1"/>
  <c r="Z304" i="1"/>
  <c r="Z22" i="1"/>
  <c r="H121" i="1"/>
  <c r="AI108" i="1"/>
  <c r="D108" i="1"/>
  <c r="O272" i="1"/>
  <c r="Z244" i="1"/>
  <c r="AR86" i="1"/>
  <c r="Z241" i="1"/>
  <c r="H87" i="1"/>
  <c r="Z226" i="1"/>
  <c r="H76" i="1"/>
  <c r="AI243" i="1"/>
  <c r="AR168" i="1"/>
  <c r="H61" i="1"/>
  <c r="H56" i="1"/>
  <c r="AR44" i="1"/>
  <c r="AI21" i="1"/>
  <c r="H14" i="1"/>
  <c r="Z165" i="1"/>
  <c r="Y100" i="1"/>
  <c r="F194" i="1"/>
  <c r="E241" i="1" s="1"/>
  <c r="AI153" i="1"/>
  <c r="AI138" i="1"/>
  <c r="Q51" i="1"/>
  <c r="Z142" i="1"/>
  <c r="H226" i="1"/>
  <c r="H220" i="1"/>
  <c r="H212" i="1"/>
  <c r="X100" i="1"/>
  <c r="W149" i="1" s="1"/>
  <c r="AQ306" i="1"/>
  <c r="H171" i="1"/>
  <c r="Z47" i="1"/>
  <c r="H136" i="1"/>
  <c r="H134" i="1"/>
  <c r="AI292" i="1"/>
  <c r="Q249" i="1"/>
  <c r="AR59" i="1"/>
  <c r="Q232" i="1"/>
  <c r="Q228" i="1"/>
  <c r="AR49" i="1"/>
  <c r="AH55" i="1"/>
  <c r="G27" i="1"/>
  <c r="H236" i="1"/>
  <c r="H142" i="1"/>
  <c r="H92" i="1"/>
  <c r="Z89" i="1"/>
  <c r="Z137" i="1"/>
  <c r="X146" i="1"/>
  <c r="W151" i="1" s="1"/>
  <c r="Z85" i="1"/>
  <c r="H193" i="1"/>
  <c r="H185" i="1"/>
  <c r="AE174" i="1"/>
  <c r="AI163" i="1"/>
  <c r="Z313" i="1"/>
  <c r="AE321" i="1"/>
  <c r="Z41" i="1"/>
  <c r="AG168" i="1"/>
  <c r="AF173" i="1" s="1"/>
  <c r="H128" i="1"/>
  <c r="Z281" i="1"/>
  <c r="Y52" i="1"/>
  <c r="AH315" i="1"/>
  <c r="Z261" i="1"/>
  <c r="AR237" i="1"/>
  <c r="AI96" i="1"/>
  <c r="AR88" i="1"/>
  <c r="AP238" i="1"/>
  <c r="AO306" i="1" s="1"/>
  <c r="AQ95" i="1"/>
  <c r="G102" i="1"/>
  <c r="AI254" i="1"/>
  <c r="AI251" i="1"/>
  <c r="AH262" i="1"/>
  <c r="AI79" i="1"/>
  <c r="Q246" i="1"/>
  <c r="AI66" i="1"/>
  <c r="Y245" i="1"/>
  <c r="Q234" i="1"/>
  <c r="AR53" i="1"/>
  <c r="AQ67" i="1"/>
  <c r="AI49" i="1"/>
  <c r="Q219" i="1"/>
  <c r="AI30" i="1"/>
  <c r="AI15" i="1"/>
  <c r="Z170" i="1"/>
  <c r="P203" i="1"/>
  <c r="P207" i="1" s="1"/>
  <c r="M179" i="1"/>
  <c r="Q142" i="1"/>
  <c r="Z235" i="1"/>
  <c r="Q254" i="1"/>
  <c r="AG109" i="1"/>
  <c r="AF172" i="1" s="1"/>
  <c r="AI71" i="1"/>
  <c r="AI43" i="1"/>
  <c r="P62" i="1"/>
  <c r="AR13" i="1"/>
  <c r="AR14" i="1" s="1"/>
  <c r="AP14" i="1"/>
  <c r="AO98" i="1" s="1"/>
  <c r="Q190" i="1"/>
  <c r="O203" i="1"/>
  <c r="AR282" i="1"/>
  <c r="O173" i="1"/>
  <c r="N178" i="1" s="1"/>
  <c r="H161" i="1"/>
  <c r="AI158" i="1"/>
  <c r="H138" i="1"/>
  <c r="Z291" i="1"/>
  <c r="AI296" i="1"/>
  <c r="AI123" i="1"/>
  <c r="AI102" i="1"/>
  <c r="AI287" i="1"/>
  <c r="Q96" i="1"/>
  <c r="AI91" i="1"/>
  <c r="AI257" i="1"/>
  <c r="AR203" i="1"/>
  <c r="AI234" i="1"/>
  <c r="AG262" i="1"/>
  <c r="AF319" i="1" s="1"/>
  <c r="Q59" i="1"/>
  <c r="G62" i="1"/>
  <c r="Y201" i="1"/>
  <c r="AR39" i="1"/>
  <c r="F27" i="1"/>
  <c r="E105" i="1" s="1"/>
  <c r="Q16" i="1"/>
  <c r="O62" i="1"/>
  <c r="N176" i="1" s="1"/>
  <c r="Z297" i="1"/>
  <c r="Q270" i="1"/>
  <c r="X52" i="1"/>
  <c r="W150" i="1" s="1"/>
  <c r="Z27" i="1"/>
  <c r="AI300" i="1"/>
  <c r="G145" i="1"/>
  <c r="AG315" i="1"/>
  <c r="AF320" i="1" s="1"/>
  <c r="AH109" i="1"/>
  <c r="Q79" i="1"/>
  <c r="O110" i="1"/>
  <c r="N177" i="1" s="1"/>
  <c r="AI54" i="1"/>
  <c r="P235" i="1"/>
  <c r="Q41" i="1"/>
  <c r="AP169" i="1"/>
  <c r="AO305" i="1" s="1"/>
  <c r="H20" i="1"/>
  <c r="Z177" i="1"/>
  <c r="X201" i="1"/>
  <c r="W317" i="1" s="1"/>
  <c r="F145" i="1"/>
  <c r="E240" i="1" s="1"/>
  <c r="F62" i="1"/>
  <c r="E106" i="1" s="1"/>
  <c r="H39" i="1"/>
  <c r="AI145" i="1"/>
  <c r="Z36" i="1"/>
  <c r="AI307" i="1"/>
  <c r="AI130" i="1"/>
  <c r="Q109" i="1"/>
  <c r="Q105" i="1"/>
  <c r="H94" i="1"/>
  <c r="P272" i="1"/>
  <c r="P277" i="1" s="1"/>
  <c r="AP95" i="1"/>
  <c r="AO100" i="1" s="1"/>
  <c r="Z231" i="1"/>
  <c r="X245" i="1"/>
  <c r="W318" i="1" s="1"/>
  <c r="Z224" i="1"/>
  <c r="Q61" i="1"/>
  <c r="Q226" i="1"/>
  <c r="O235" i="1"/>
  <c r="N281" i="1" s="1"/>
  <c r="Q220" i="1"/>
  <c r="Z197" i="1"/>
  <c r="AI37" i="1"/>
  <c r="Z189" i="1"/>
  <c r="O206" i="1"/>
  <c r="Q205" i="1"/>
  <c r="Q206" i="1" s="1"/>
  <c r="AR27" i="1"/>
  <c r="AP67" i="1"/>
  <c r="AO99" i="1" s="1"/>
  <c r="AH210" i="1"/>
  <c r="AI195" i="1"/>
  <c r="AG210" i="1"/>
  <c r="AF318" i="1" s="1"/>
  <c r="AG55" i="1"/>
  <c r="AF171" i="1" s="1"/>
  <c r="AI11" i="1"/>
  <c r="H10" i="1"/>
  <c r="I242" i="1" l="1"/>
  <c r="BS217" i="1"/>
  <c r="BJ392" i="1"/>
  <c r="BA338" i="1"/>
  <c r="BA434" i="1" s="1"/>
  <c r="BA442" i="1" s="1"/>
  <c r="BJ193" i="1"/>
  <c r="BA239" i="1"/>
  <c r="AS314" i="1"/>
  <c r="AS98" i="1"/>
  <c r="AS100" i="1" s="1"/>
  <c r="R287" i="1"/>
  <c r="AA151" i="1"/>
  <c r="AJ321" i="1"/>
  <c r="AJ173" i="1"/>
  <c r="R178" i="1"/>
  <c r="BG392" i="1"/>
  <c r="I107" i="1"/>
  <c r="BS58" i="1"/>
  <c r="BS211" i="1"/>
  <c r="BP209" i="1"/>
  <c r="BP212" i="1" s="1"/>
  <c r="BI386" i="1"/>
  <c r="BG387" i="1"/>
  <c r="BJ385" i="1"/>
  <c r="BJ384" i="1"/>
  <c r="BJ381" i="1"/>
  <c r="BJ244" i="1"/>
  <c r="BJ308" i="1"/>
  <c r="BI81" i="1"/>
  <c r="BI187" i="1"/>
  <c r="BH81" i="1"/>
  <c r="BG185" i="1" s="1"/>
  <c r="BJ186" i="1"/>
  <c r="BJ80" i="1"/>
  <c r="BJ185" i="1" s="1"/>
  <c r="AZ436" i="1"/>
  <c r="BJ59" i="1"/>
  <c r="AX437" i="1"/>
  <c r="BA435" i="1"/>
  <c r="BA431" i="1"/>
  <c r="BA320" i="1"/>
  <c r="AZ232" i="1"/>
  <c r="BA230" i="1"/>
  <c r="AX234" i="1"/>
  <c r="BA231" i="1"/>
  <c r="BA228" i="1"/>
  <c r="BA84" i="1"/>
  <c r="BA151" i="1"/>
  <c r="AR169" i="1"/>
  <c r="M283" i="1"/>
  <c r="AQ307" i="1"/>
  <c r="H27" i="1"/>
  <c r="O207" i="1"/>
  <c r="N280" i="1" s="1"/>
  <c r="O277" i="1"/>
  <c r="N282" i="1" s="1"/>
  <c r="E243" i="1"/>
  <c r="Z146" i="1"/>
  <c r="W320" i="1"/>
  <c r="AR238" i="1"/>
  <c r="AI55" i="1"/>
  <c r="H237" i="1"/>
  <c r="Z314" i="1"/>
  <c r="H102" i="1"/>
  <c r="AR95" i="1"/>
  <c r="Q203" i="1"/>
  <c r="Q207" i="1" s="1"/>
  <c r="Z245" i="1"/>
  <c r="AI109" i="1"/>
  <c r="Z100" i="1"/>
  <c r="Z52" i="1"/>
  <c r="AI262" i="1"/>
  <c r="AO308" i="1"/>
  <c r="Q235" i="1"/>
  <c r="H62" i="1"/>
  <c r="Z201" i="1"/>
  <c r="W152" i="1"/>
  <c r="Q62" i="1"/>
  <c r="AI315" i="1"/>
  <c r="H194" i="1"/>
  <c r="Q272" i="1"/>
  <c r="Q277" i="1" s="1"/>
  <c r="AF174" i="1"/>
  <c r="AR67" i="1"/>
  <c r="H145" i="1"/>
  <c r="Q173" i="1"/>
  <c r="AR305" i="1"/>
  <c r="AF321" i="1"/>
  <c r="Q110" i="1"/>
  <c r="E108" i="1"/>
  <c r="AO101" i="1"/>
  <c r="AF212" i="1"/>
  <c r="AI210" i="1"/>
  <c r="AR306" i="1"/>
  <c r="AR302" i="1"/>
  <c r="N179" i="1"/>
  <c r="AI168" i="1"/>
  <c r="AF214" i="1" l="1"/>
  <c r="BJ386" i="1"/>
  <c r="BG188" i="1"/>
  <c r="BJ81" i="1"/>
  <c r="BJ187" i="1"/>
  <c r="BA436" i="1"/>
  <c r="BA232" i="1"/>
  <c r="N283" i="1"/>
  <c r="AR307" i="1"/>
</calcChain>
</file>

<file path=xl/sharedStrings.xml><?xml version="1.0" encoding="utf-8"?>
<sst xmlns="http://schemas.openxmlformats.org/spreadsheetml/2006/main" count="1799" uniqueCount="194">
  <si>
    <t>OK</t>
  </si>
  <si>
    <t>TRUK 3</t>
  </si>
  <si>
    <t>TRUK 2</t>
  </si>
  <si>
    <t>TRUK 1</t>
  </si>
  <si>
    <t>MUAT FUSO 5</t>
  </si>
  <si>
    <t>MUAT FUSO 2</t>
  </si>
  <si>
    <t>M3</t>
  </si>
  <si>
    <t>PCS</t>
  </si>
  <si>
    <t>P</t>
  </si>
  <si>
    <t>L</t>
  </si>
  <si>
    <t>T</t>
  </si>
  <si>
    <t>KET</t>
  </si>
  <si>
    <t>TOTAL</t>
  </si>
  <si>
    <t>UKURAN</t>
  </si>
  <si>
    <t>TGL  23 JUNI 2026</t>
  </si>
  <si>
    <t>L 8355 NA</t>
  </si>
  <si>
    <t>NO POL</t>
  </si>
  <si>
    <t>TEGUH</t>
  </si>
  <si>
    <t>SUPIR</t>
  </si>
  <si>
    <t>PENGIRIMAN PAK HERI</t>
  </si>
  <si>
    <t>TRUCK 3</t>
  </si>
  <si>
    <t>BKR</t>
  </si>
  <si>
    <t>TRUCK 2</t>
  </si>
  <si>
    <t>MRT</t>
  </si>
  <si>
    <t>TRUCK 1</t>
  </si>
  <si>
    <t>FUSO 10</t>
  </si>
  <si>
    <t>TGL 07 JUNI 2026</t>
  </si>
  <si>
    <t>KH 8248 NC</t>
  </si>
  <si>
    <t>SUPRI</t>
  </si>
  <si>
    <t>MUAT FUSO 3</t>
  </si>
  <si>
    <t>FUSO 7</t>
  </si>
  <si>
    <t>TGL  21 JUNI 2026</t>
  </si>
  <si>
    <t>FUSO 6</t>
  </si>
  <si>
    <t>L 8354 NA</t>
  </si>
  <si>
    <t>FENAN</t>
  </si>
  <si>
    <t>DA 8789 CW</t>
  </si>
  <si>
    <t>ROBY</t>
  </si>
  <si>
    <t>FUSO 8</t>
  </si>
  <si>
    <t>TGL  04 AGUSTUS 2026</t>
  </si>
  <si>
    <t xml:space="preserve">L 8354 NA </t>
  </si>
  <si>
    <t>HENGKY</t>
  </si>
  <si>
    <t>TGL  15 JUNI 2026</t>
  </si>
  <si>
    <t>TGL  08 JULI 2026</t>
  </si>
  <si>
    <t>TGL 06 JUNI 2026</t>
  </si>
  <si>
    <t>DA 8142 TBB</t>
  </si>
  <si>
    <t>WAHYUDI</t>
  </si>
  <si>
    <t>MUAT FUSO 1</t>
  </si>
  <si>
    <t>KAYU KRG 6X15X400 = 1 PCS</t>
  </si>
  <si>
    <t>KAYU KRG 3X5X400 = 2 PAK 2X3X400 = 2 PAK</t>
  </si>
  <si>
    <t>MUAT FUSO 4</t>
  </si>
  <si>
    <t>FUSO 9</t>
  </si>
  <si>
    <t>TGL  30  JUNI 2026</t>
  </si>
  <si>
    <t>MERANTI</t>
  </si>
  <si>
    <t>BENGKIRAI</t>
  </si>
  <si>
    <t>TGL  12 JULI 2026</t>
  </si>
  <si>
    <t>TGL  19 JULI 2026</t>
  </si>
  <si>
    <t>TGL  14 JUNI 2026</t>
  </si>
  <si>
    <t>TGL 04 JUNI 2026</t>
  </si>
  <si>
    <t>TGL  07 JULI 2026</t>
  </si>
  <si>
    <t>TGL  18 JUNI 2026</t>
  </si>
  <si>
    <t>TGL  27 JUNI 2026</t>
  </si>
  <si>
    <t>DA 8731 HB</t>
  </si>
  <si>
    <t>IKHSAN</t>
  </si>
  <si>
    <t>TGL  17 JUNI 2026</t>
  </si>
  <si>
    <t>TGL 02 JUNI 2026</t>
  </si>
  <si>
    <t>KH 8372 AP</t>
  </si>
  <si>
    <t>VIRNO</t>
  </si>
  <si>
    <t>BENGKIRAI - MERANTI</t>
  </si>
  <si>
    <t>KRG 2 PAK</t>
  </si>
  <si>
    <t>TGL  17 JULI 2026</t>
  </si>
  <si>
    <t>TGL  31 JULI 2026</t>
  </si>
  <si>
    <t>TGL  16 JULI 2026</t>
  </si>
  <si>
    <t>TGL  04 JULI 2026</t>
  </si>
  <si>
    <t>KH 8916 GO</t>
  </si>
  <si>
    <t>RAHMAN</t>
  </si>
  <si>
    <t>INPUT LOG MERANTI</t>
  </si>
  <si>
    <t>OUTPUT GESEK BALOK</t>
  </si>
  <si>
    <t>OUTPUT GESEK RENG</t>
  </si>
  <si>
    <t>BELI MASAK MERANTI</t>
  </si>
  <si>
    <t>FUSO 1 - 10</t>
  </si>
  <si>
    <t>STOCK MERANTI EX GESEK</t>
  </si>
  <si>
    <t>INPUT LOG BENGKIRAI</t>
  </si>
  <si>
    <t>BELI MASAK BENGKIRAI</t>
  </si>
  <si>
    <t>FUSO 4-8-10</t>
  </si>
  <si>
    <t>BELI MASAK</t>
  </si>
  <si>
    <t>INPUT PLAT BENGKIRAI</t>
  </si>
  <si>
    <t>MASAK</t>
  </si>
  <si>
    <t>BALOK EX PLAT</t>
  </si>
  <si>
    <t>RENG EX PLAT</t>
  </si>
  <si>
    <t>GRAND TOTAL</t>
  </si>
  <si>
    <t>STOCK BENGKIRAI</t>
  </si>
  <si>
    <t>TGL  09 AGST 2026</t>
  </si>
  <si>
    <t>TGL  10 AGST 2026</t>
  </si>
  <si>
    <t>DA 8018 PU</t>
  </si>
  <si>
    <t>TGL  11 AGST 2026</t>
  </si>
  <si>
    <t>FUSO 11</t>
  </si>
  <si>
    <t>TGL  12 AGST 2026</t>
  </si>
  <si>
    <t>HENDRIYADI</t>
  </si>
  <si>
    <t>KH 8295 AT</t>
  </si>
  <si>
    <t>TGL  13 AGST 2026</t>
  </si>
  <si>
    <t>EGA RUBYANTO</t>
  </si>
  <si>
    <t>DA 8103 ME</t>
  </si>
  <si>
    <t>FUSO 12</t>
  </si>
  <si>
    <t>TGL  16 AGST 2026</t>
  </si>
  <si>
    <t>HENDRIK</t>
  </si>
  <si>
    <t>KH 8987 TA</t>
  </si>
  <si>
    <t>TRIANTO</t>
  </si>
  <si>
    <t>DA 8675 LF</t>
  </si>
  <si>
    <t>FUSO 13</t>
  </si>
  <si>
    <t>SUPRIYANTO</t>
  </si>
  <si>
    <t>KH 8248 NO</t>
  </si>
  <si>
    <t>TGL  19 AGST 2026</t>
  </si>
  <si>
    <t>TGL  20 AGST 2026</t>
  </si>
  <si>
    <t>EKO SISWANTO</t>
  </si>
  <si>
    <t>KH 8261 NM</t>
  </si>
  <si>
    <t>FUSO 14</t>
  </si>
  <si>
    <t>TGL   22 AGST 2026</t>
  </si>
  <si>
    <t>FUSO 15</t>
  </si>
  <si>
    <t>LKL MRT</t>
  </si>
  <si>
    <t>BLK MRT</t>
  </si>
  <si>
    <t>REKAP</t>
  </si>
  <si>
    <t>YULIANSYAH</t>
  </si>
  <si>
    <t>TGL   23 AGST 2026</t>
  </si>
  <si>
    <t>REKAP 13-14</t>
  </si>
  <si>
    <t>TGL   26 AGST 2026</t>
  </si>
  <si>
    <t>FUSO 16</t>
  </si>
  <si>
    <t>TGL   27 AGST 2026</t>
  </si>
  <si>
    <t>RC</t>
  </si>
  <si>
    <t>TGL 29 AGST 2026</t>
  </si>
  <si>
    <t>TGL   29 AGST 2026</t>
  </si>
  <si>
    <t>FUSO 17</t>
  </si>
  <si>
    <t>ROBBY</t>
  </si>
  <si>
    <t>TGL   30 AGST 2026</t>
  </si>
  <si>
    <t>TGL   31 AGST 2026</t>
  </si>
  <si>
    <t>FUSO 18</t>
  </si>
  <si>
    <t>TGL 01 SEPTEMBER 2026</t>
  </si>
  <si>
    <t>DAVID</t>
  </si>
  <si>
    <t>KH 8278 AN</t>
  </si>
  <si>
    <t>FUSO 19</t>
  </si>
  <si>
    <t>FUSO 09</t>
  </si>
  <si>
    <t>FUSO 07</t>
  </si>
  <si>
    <t>FUSO 08</t>
  </si>
  <si>
    <t>FUSO 05</t>
  </si>
  <si>
    <t>FUSO 06</t>
  </si>
  <si>
    <t>FUSO 02</t>
  </si>
  <si>
    <t>FUSO 04</t>
  </si>
  <si>
    <t>FUSO 03</t>
  </si>
  <si>
    <t xml:space="preserve">FUSO 01 </t>
  </si>
  <si>
    <t>BLK BKR</t>
  </si>
  <si>
    <t>LKL BKR</t>
  </si>
  <si>
    <t>LOKAL</t>
  </si>
  <si>
    <t>FUSO 20</t>
  </si>
  <si>
    <t>TGL 02 SEPTEMBER 2026</t>
  </si>
  <si>
    <t>EGA RUBIANTO</t>
  </si>
  <si>
    <t>TGL 03 SEPTEMBER 2026</t>
  </si>
  <si>
    <t>LKL  MRT</t>
  </si>
  <si>
    <t>FUSO 21</t>
  </si>
  <si>
    <t>TGL 06 SEPTEMBER 2026</t>
  </si>
  <si>
    <t>FUSO L 8474 UJ</t>
  </si>
  <si>
    <t>FUSO</t>
  </si>
  <si>
    <t>REKAP MUATAN FUSO EX KALTENG</t>
  </si>
  <si>
    <t>TRUCK</t>
  </si>
  <si>
    <t>BALOK</t>
  </si>
  <si>
    <t>FUSO EX KALTENG</t>
  </si>
  <si>
    <t>JUMLAH</t>
  </si>
  <si>
    <t>MRT / BKR</t>
  </si>
  <si>
    <t xml:space="preserve">MRT    </t>
  </si>
  <si>
    <t>TGL 07 SEPTEMBER 2026</t>
  </si>
  <si>
    <t>FUSO 22</t>
  </si>
  <si>
    <t>KH 8677 NP</t>
  </si>
  <si>
    <t>DA 8018</t>
  </si>
  <si>
    <t>TGL 10 SEPTEMBER 2026</t>
  </si>
  <si>
    <t>KALIS</t>
  </si>
  <si>
    <t>FUSO 23</t>
  </si>
  <si>
    <t>TGL 12 SEPTEMBER 2026</t>
  </si>
  <si>
    <t>IYAN</t>
  </si>
  <si>
    <t>DA 8324 LI</t>
  </si>
  <si>
    <t>FENANSIUS</t>
  </si>
  <si>
    <t>KH 6677 NP</t>
  </si>
  <si>
    <t>TGL 13 SEPTEMBER 2026</t>
  </si>
  <si>
    <t>FUSO 24</t>
  </si>
  <si>
    <t>TGL 14 SEPTEMBER 2026</t>
  </si>
  <si>
    <t>FUSO 25</t>
  </si>
  <si>
    <t>KH 8209 NC</t>
  </si>
  <si>
    <t>TGL 16 SEPTEMBER 2026</t>
  </si>
  <si>
    <t>FUSO 23 DA 8372 LN</t>
  </si>
  <si>
    <t>FUSO 22 L 8367 LE</t>
  </si>
  <si>
    <t>FUSO 24 P 9636 VN</t>
  </si>
  <si>
    <t>TGL 17 SEPTEMBER 2026</t>
  </si>
  <si>
    <t>FUSO 26</t>
  </si>
  <si>
    <t>TGL 19 SEPTEMBER 2026</t>
  </si>
  <si>
    <t>KHALIS</t>
  </si>
  <si>
    <t>TGL 20 SEPTEMBER 2026</t>
  </si>
  <si>
    <t>FUSO 25 DA 8168 TAQ (GANTI FUSO) DA 8142 TBB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</si>
</sst>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0.0000"/>
    <numFmt numFmtId="165" formatCode="0.0000_ "/>
    <numFmt numFmtId="166" formatCode="0.000"/>
  </numFmts>
  <fonts count="22" x14ac:knownFonts="1">
    <font>
      <sz val="11"/>
      <color theme="1"/>
      <name val="Calibri"/>
      <family val="2"/>
      <scheme val="minor"/>
    </font>
    <font>
      <b/>
      <sz val="12"/>
      <color rgb="FFFF0000"/>
      <name val="Calibri Light"/>
      <family val="2"/>
    </font>
    <font>
      <sz val="12"/>
      <color theme="1"/>
      <name val="Calibri Light"/>
      <family val="2"/>
    </font>
    <font>
      <b/>
      <sz val="12"/>
      <name val="Calibri Light"/>
      <family val="2"/>
    </font>
    <font>
      <sz val="12"/>
      <name val="Calibri Light"/>
      <family val="2"/>
    </font>
    <font>
      <b/>
      <sz val="12"/>
      <color theme="1"/>
      <name val="Calibri Light"/>
      <family val="2"/>
    </font>
    <font>
      <b/>
      <sz val="11"/>
      <name val="Arial"/>
      <family val="2"/>
    </font>
    <font>
      <sz val="12"/>
      <color rgb="FFFF0000"/>
      <name val="Calibri"/>
      <family val="2"/>
      <scheme val="minor"/>
    </font>
    <font>
      <b/>
      <sz val="20"/>
      <color theme="1"/>
      <name val="Calibri Light"/>
      <family val="2"/>
    </font>
    <font>
      <sz val="12"/>
      <color rgb="FF00B0F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 Light"/>
      <family val="2"/>
    </font>
    <font>
      <b/>
      <sz val="22"/>
      <name val="Calibri Light"/>
      <family val="2"/>
    </font>
    <font>
      <b/>
      <sz val="12"/>
      <color rgb="FF002060"/>
      <name val="Calibri Light"/>
      <family val="2"/>
    </font>
    <font>
      <sz val="12"/>
      <color theme="1"/>
      <name val="Cambria"/>
      <family val="1"/>
    </font>
    <font>
      <sz val="8"/>
      <name val="Calibri"/>
      <family val="2"/>
      <scheme val="minor"/>
    </font>
    <font>
      <b/>
      <sz val="22"/>
      <color theme="1"/>
      <name val="Cambria"/>
      <family val="1"/>
    </font>
    <font>
      <sz val="12"/>
      <color rgb="FFFF0000"/>
      <name val="Cambria"/>
      <family val="1"/>
    </font>
    <font>
      <b/>
      <sz val="12"/>
      <color theme="1"/>
      <name val="Cambria"/>
      <family val="1"/>
    </font>
    <font>
      <b/>
      <sz val="12"/>
      <color rgb="FFFF0000"/>
      <name val="Cambria"/>
      <family val="1"/>
    </font>
    <font>
      <b/>
      <sz val="12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/>
  </cellStyleXfs>
  <cellXfs count="263">
    <xf numFmtId="0" fontId="0" fillId="0" borderId="0" xfId="0"/>
    <xf numFmtId="0" fontId="0" fillId="2" borderId="0" xfId="0" applyFill="1"/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164" fontId="4" fillId="0" borderId="7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right" vertical="center"/>
    </xf>
    <xf numFmtId="0" fontId="2" fillId="0" borderId="9" xfId="0" applyFont="1" applyBorder="1" applyAlignment="1">
      <alignment horizontal="center"/>
    </xf>
    <xf numFmtId="164" fontId="4" fillId="0" borderId="6" xfId="0" applyNumberFormat="1" applyFont="1" applyBorder="1" applyAlignment="1">
      <alignment horizontal="right" vertical="center"/>
    </xf>
    <xf numFmtId="165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164" fontId="5" fillId="2" borderId="2" xfId="0" applyNumberFormat="1" applyFont="1" applyFill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164" fontId="4" fillId="0" borderId="16" xfId="0" applyNumberFormat="1" applyFont="1" applyBorder="1" applyAlignment="1">
      <alignment horizontal="right" vertical="center"/>
    </xf>
    <xf numFmtId="164" fontId="1" fillId="0" borderId="7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horizontal="center"/>
    </xf>
    <xf numFmtId="164" fontId="1" fillId="0" borderId="6" xfId="0" applyNumberFormat="1" applyFont="1" applyBorder="1" applyAlignment="1">
      <alignment horizontal="right" vertical="center"/>
    </xf>
    <xf numFmtId="0" fontId="5" fillId="0" borderId="1" xfId="0" applyFont="1" applyBorder="1"/>
    <xf numFmtId="164" fontId="2" fillId="0" borderId="0" xfId="0" applyNumberFormat="1" applyFont="1"/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9" fillId="0" borderId="0" xfId="0" applyFont="1" applyAlignment="1">
      <alignment vertical="center"/>
    </xf>
    <xf numFmtId="0" fontId="5" fillId="2" borderId="2" xfId="0" applyFont="1" applyFill="1" applyBorder="1" applyAlignment="1">
      <alignment horizontal="right"/>
    </xf>
    <xf numFmtId="0" fontId="1" fillId="0" borderId="6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164" fontId="2" fillId="0" borderId="6" xfId="0" applyNumberFormat="1" applyFont="1" applyBorder="1" applyAlignment="1">
      <alignment horizontal="right"/>
    </xf>
    <xf numFmtId="164" fontId="3" fillId="2" borderId="17" xfId="0" applyNumberFormat="1" applyFont="1" applyFill="1" applyBorder="1" applyAlignment="1">
      <alignment horizontal="right" vertical="center"/>
    </xf>
    <xf numFmtId="0" fontId="5" fillId="2" borderId="18" xfId="0" applyFont="1" applyFill="1" applyBorder="1" applyAlignment="1">
      <alignment horizontal="center"/>
    </xf>
    <xf numFmtId="164" fontId="2" fillId="0" borderId="9" xfId="0" applyNumberFormat="1" applyFont="1" applyBorder="1" applyAlignment="1">
      <alignment horizontal="right"/>
    </xf>
    <xf numFmtId="0" fontId="2" fillId="0" borderId="19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164" fontId="1" fillId="0" borderId="1" xfId="0" applyNumberFormat="1" applyFont="1" applyBorder="1"/>
    <xf numFmtId="165" fontId="3" fillId="0" borderId="6" xfId="0" applyNumberFormat="1" applyFont="1" applyBorder="1" applyAlignment="1">
      <alignment horizontal="center" vertical="center"/>
    </xf>
    <xf numFmtId="0" fontId="2" fillId="3" borderId="6" xfId="0" applyFont="1" applyFill="1" applyBorder="1" applyAlignment="1">
      <alignment horizontal="left"/>
    </xf>
    <xf numFmtId="164" fontId="4" fillId="3" borderId="7" xfId="0" applyNumberFormat="1" applyFont="1" applyFill="1" applyBorder="1" applyAlignment="1">
      <alignment horizontal="right" vertical="center"/>
    </xf>
    <xf numFmtId="0" fontId="2" fillId="3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" fillId="0" borderId="6" xfId="0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2" fillId="0" borderId="6" xfId="0" applyFont="1" applyFill="1" applyBorder="1" applyAlignment="1">
      <alignment horizontal="center"/>
    </xf>
    <xf numFmtId="164" fontId="4" fillId="0" borderId="6" xfId="0" applyNumberFormat="1" applyFont="1" applyFill="1" applyBorder="1" applyAlignment="1">
      <alignment horizontal="right" vertical="center"/>
    </xf>
    <xf numFmtId="164" fontId="4" fillId="0" borderId="7" xfId="0" applyNumberFormat="1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center"/>
    </xf>
    <xf numFmtId="164" fontId="1" fillId="0" borderId="6" xfId="0" applyNumberFormat="1" applyFont="1" applyFill="1" applyBorder="1" applyAlignment="1">
      <alignment horizontal="right" vertical="center"/>
    </xf>
    <xf numFmtId="0" fontId="1" fillId="0" borderId="9" xfId="0" applyFont="1" applyFill="1" applyBorder="1" applyAlignment="1">
      <alignment horizontal="left"/>
    </xf>
    <xf numFmtId="164" fontId="1" fillId="0" borderId="7" xfId="0" applyNumberFormat="1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right"/>
    </xf>
    <xf numFmtId="0" fontId="1" fillId="0" borderId="6" xfId="0" applyFont="1" applyFill="1" applyBorder="1" applyAlignment="1">
      <alignment horizontal="left"/>
    </xf>
    <xf numFmtId="16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64" fontId="2" fillId="0" borderId="15" xfId="0" applyNumberFormat="1" applyFont="1" applyBorder="1"/>
    <xf numFmtId="0" fontId="1" fillId="0" borderId="1" xfId="0" applyFont="1" applyBorder="1"/>
    <xf numFmtId="164" fontId="2" fillId="0" borderId="0" xfId="0" applyNumberFormat="1" applyFont="1" applyBorder="1"/>
    <xf numFmtId="164" fontId="5" fillId="0" borderId="5" xfId="0" applyNumberFormat="1" applyFont="1" applyBorder="1"/>
    <xf numFmtId="0" fontId="2" fillId="0" borderId="0" xfId="0" applyFont="1" applyBorder="1"/>
    <xf numFmtId="164" fontId="1" fillId="0" borderId="20" xfId="0" applyNumberFormat="1" applyFont="1" applyBorder="1"/>
    <xf numFmtId="16" fontId="1" fillId="0" borderId="21" xfId="0" applyNumberFormat="1" applyFont="1" applyBorder="1" applyAlignment="1">
      <alignment horizontal="left"/>
    </xf>
    <xf numFmtId="0" fontId="5" fillId="0" borderId="22" xfId="0" applyFont="1" applyBorder="1"/>
    <xf numFmtId="0" fontId="12" fillId="0" borderId="23" xfId="0" applyFont="1" applyBorder="1" applyAlignment="1">
      <alignment horizontal="left"/>
    </xf>
    <xf numFmtId="0" fontId="2" fillId="0" borderId="24" xfId="0" applyFont="1" applyBorder="1"/>
    <xf numFmtId="0" fontId="12" fillId="0" borderId="25" xfId="0" applyFont="1" applyBorder="1" applyAlignment="1">
      <alignment horizontal="left"/>
    </xf>
    <xf numFmtId="0" fontId="1" fillId="0" borderId="0" xfId="0" applyFont="1" applyBorder="1"/>
    <xf numFmtId="9" fontId="12" fillId="0" borderId="25" xfId="1" applyFont="1" applyBorder="1" applyAlignment="1">
      <alignment horizontal="left"/>
    </xf>
    <xf numFmtId="0" fontId="2" fillId="0" borderId="26" xfId="0" applyFont="1" applyBorder="1"/>
    <xf numFmtId="0" fontId="2" fillId="0" borderId="27" xfId="0" applyFont="1" applyBorder="1"/>
    <xf numFmtId="0" fontId="12" fillId="0" borderId="28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9" fontId="12" fillId="0" borderId="0" xfId="1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Border="1"/>
    <xf numFmtId="0" fontId="2" fillId="0" borderId="25" xfId="0" applyFont="1" applyBorder="1"/>
    <xf numFmtId="0" fontId="2" fillId="0" borderId="28" xfId="0" applyFont="1" applyBorder="1"/>
    <xf numFmtId="0" fontId="2" fillId="0" borderId="6" xfId="0" applyFont="1" applyBorder="1" applyAlignment="1">
      <alignment horizontal="right"/>
    </xf>
    <xf numFmtId="164" fontId="4" fillId="0" borderId="0" xfId="0" applyNumberFormat="1" applyFont="1" applyBorder="1" applyAlignment="1">
      <alignment horizontal="right" vertical="center"/>
    </xf>
    <xf numFmtId="0" fontId="2" fillId="0" borderId="6" xfId="0" applyFont="1" applyBorder="1" applyAlignment="1"/>
    <xf numFmtId="0" fontId="3" fillId="2" borderId="2" xfId="0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right"/>
    </xf>
    <xf numFmtId="164" fontId="2" fillId="0" borderId="6" xfId="0" applyNumberFormat="1" applyFont="1" applyBorder="1" applyAlignment="1"/>
    <xf numFmtId="164" fontId="1" fillId="0" borderId="16" xfId="0" applyNumberFormat="1" applyFont="1" applyBorder="1" applyAlignment="1">
      <alignment vertical="center"/>
    </xf>
    <xf numFmtId="164" fontId="1" fillId="0" borderId="16" xfId="0" applyNumberFormat="1" applyFont="1" applyBorder="1" applyAlignment="1">
      <alignment horizontal="right" vertical="center"/>
    </xf>
    <xf numFmtId="164" fontId="3" fillId="2" borderId="2" xfId="0" applyNumberFormat="1" applyFont="1" applyFill="1" applyBorder="1" applyAlignment="1"/>
    <xf numFmtId="0" fontId="3" fillId="2" borderId="2" xfId="0" applyFont="1" applyFill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1" fillId="0" borderId="6" xfId="0" applyNumberFormat="1" applyFont="1" applyBorder="1" applyAlignment="1">
      <alignment horizontal="right"/>
    </xf>
    <xf numFmtId="0" fontId="2" fillId="4" borderId="6" xfId="0" applyFont="1" applyFill="1" applyBorder="1" applyAlignment="1">
      <alignment horizontal="center"/>
    </xf>
    <xf numFmtId="164" fontId="4" fillId="4" borderId="7" xfId="0" applyNumberFormat="1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center"/>
    </xf>
    <xf numFmtId="164" fontId="4" fillId="4" borderId="16" xfId="0" applyNumberFormat="1" applyFont="1" applyFill="1" applyBorder="1" applyAlignment="1">
      <alignment horizontal="right" vertical="center"/>
    </xf>
    <xf numFmtId="164" fontId="4" fillId="4" borderId="6" xfId="0" applyNumberFormat="1" applyFont="1" applyFill="1" applyBorder="1" applyAlignment="1">
      <alignment horizontal="right" vertical="center"/>
    </xf>
    <xf numFmtId="0" fontId="2" fillId="4" borderId="19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right"/>
    </xf>
    <xf numFmtId="0" fontId="0" fillId="0" borderId="0" xfId="0" applyBorder="1"/>
    <xf numFmtId="0" fontId="1" fillId="0" borderId="0" xfId="0" applyFont="1" applyBorder="1" applyAlignment="1">
      <alignment horizontal="right"/>
    </xf>
    <xf numFmtId="0" fontId="2" fillId="5" borderId="6" xfId="0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right" vertical="center"/>
    </xf>
    <xf numFmtId="0" fontId="1" fillId="5" borderId="6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center"/>
    </xf>
    <xf numFmtId="164" fontId="4" fillId="6" borderId="7" xfId="0" applyNumberFormat="1" applyFont="1" applyFill="1" applyBorder="1" applyAlignment="1">
      <alignment horizontal="right" vertical="center"/>
    </xf>
    <xf numFmtId="164" fontId="4" fillId="6" borderId="0" xfId="0" applyNumberFormat="1" applyFont="1" applyFill="1" applyBorder="1" applyAlignment="1">
      <alignment horizontal="right" vertical="center"/>
    </xf>
    <xf numFmtId="164" fontId="2" fillId="6" borderId="6" xfId="0" applyNumberFormat="1" applyFont="1" applyFill="1" applyBorder="1" applyAlignment="1">
      <alignment horizontal="right"/>
    </xf>
    <xf numFmtId="0" fontId="1" fillId="6" borderId="6" xfId="0" applyFont="1" applyFill="1" applyBorder="1" applyAlignment="1">
      <alignment horizontal="left"/>
    </xf>
    <xf numFmtId="0" fontId="2" fillId="5" borderId="10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64" fontId="1" fillId="5" borderId="7" xfId="0" applyNumberFormat="1" applyFont="1" applyFill="1" applyBorder="1" applyAlignment="1">
      <alignment horizontal="right" vertical="center"/>
    </xf>
    <xf numFmtId="0" fontId="2" fillId="6" borderId="9" xfId="0" applyFont="1" applyFill="1" applyBorder="1" applyAlignment="1">
      <alignment horizontal="center"/>
    </xf>
    <xf numFmtId="164" fontId="4" fillId="6" borderId="16" xfId="0" applyNumberFormat="1" applyFont="1" applyFill="1" applyBorder="1" applyAlignment="1">
      <alignment horizontal="right" vertical="center"/>
    </xf>
    <xf numFmtId="164" fontId="4" fillId="6" borderId="6" xfId="0" applyNumberFormat="1" applyFont="1" applyFill="1" applyBorder="1" applyAlignment="1">
      <alignment horizontal="right" vertical="center"/>
    </xf>
    <xf numFmtId="0" fontId="1" fillId="6" borderId="6" xfId="0" applyFont="1" applyFill="1" applyBorder="1" applyAlignment="1">
      <alignment horizontal="center"/>
    </xf>
    <xf numFmtId="164" fontId="1" fillId="6" borderId="6" xfId="0" applyNumberFormat="1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/>
    </xf>
    <xf numFmtId="164" fontId="2" fillId="3" borderId="6" xfId="0" applyNumberFormat="1" applyFont="1" applyFill="1" applyBorder="1" applyAlignment="1">
      <alignment horizontal="right"/>
    </xf>
    <xf numFmtId="0" fontId="1" fillId="3" borderId="6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right"/>
    </xf>
    <xf numFmtId="164" fontId="1" fillId="0" borderId="1" xfId="0" applyNumberFormat="1" applyFont="1" applyBorder="1" applyAlignment="1"/>
    <xf numFmtId="0" fontId="2" fillId="6" borderId="6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164" fontId="4" fillId="3" borderId="6" xfId="0" applyNumberFormat="1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center"/>
    </xf>
    <xf numFmtId="164" fontId="4" fillId="3" borderId="16" xfId="0" applyNumberFormat="1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right"/>
    </xf>
    <xf numFmtId="164" fontId="1" fillId="6" borderId="7" xfId="0" applyNumberFormat="1" applyFont="1" applyFill="1" applyBorder="1" applyAlignment="1">
      <alignment horizontal="right" vertical="center"/>
    </xf>
    <xf numFmtId="0" fontId="1" fillId="6" borderId="9" xfId="0" applyFont="1" applyFill="1" applyBorder="1" applyAlignment="1">
      <alignment horizontal="center"/>
    </xf>
    <xf numFmtId="164" fontId="1" fillId="6" borderId="9" xfId="0" applyNumberFormat="1" applyFont="1" applyFill="1" applyBorder="1" applyAlignment="1">
      <alignment horizontal="right"/>
    </xf>
    <xf numFmtId="0" fontId="1" fillId="6" borderId="9" xfId="0" applyFont="1" applyFill="1" applyBorder="1" applyAlignment="1">
      <alignment horizontal="left"/>
    </xf>
    <xf numFmtId="164" fontId="1" fillId="3" borderId="6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2" fillId="6" borderId="6" xfId="0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166" fontId="5" fillId="0" borderId="1" xfId="0" applyNumberFormat="1" applyFont="1" applyBorder="1"/>
    <xf numFmtId="164" fontId="1" fillId="3" borderId="6" xfId="0" applyNumberFormat="1" applyFont="1" applyFill="1" applyBorder="1" applyAlignment="1">
      <alignment horizontal="right"/>
    </xf>
    <xf numFmtId="0" fontId="2" fillId="8" borderId="6" xfId="0" applyFont="1" applyFill="1" applyBorder="1" applyAlignment="1">
      <alignment horizontal="center"/>
    </xf>
    <xf numFmtId="164" fontId="4" fillId="8" borderId="7" xfId="0" applyNumberFormat="1" applyFont="1" applyFill="1" applyBorder="1" applyAlignment="1">
      <alignment horizontal="right" vertical="center"/>
    </xf>
    <xf numFmtId="0" fontId="1" fillId="8" borderId="6" xfId="0" applyFont="1" applyFill="1" applyBorder="1" applyAlignment="1">
      <alignment horizontal="center"/>
    </xf>
    <xf numFmtId="164" fontId="1" fillId="8" borderId="7" xfId="0" applyNumberFormat="1" applyFont="1" applyFill="1" applyBorder="1" applyAlignment="1">
      <alignment horizontal="right" vertical="center"/>
    </xf>
    <xf numFmtId="0" fontId="1" fillId="8" borderId="6" xfId="0" applyFont="1" applyFill="1" applyBorder="1" applyAlignment="1">
      <alignment horizontal="left"/>
    </xf>
    <xf numFmtId="164" fontId="1" fillId="3" borderId="7" xfId="0" applyNumberFormat="1" applyFont="1" applyFill="1" applyBorder="1" applyAlignment="1">
      <alignment horizontal="right" vertical="center"/>
    </xf>
    <xf numFmtId="0" fontId="1" fillId="6" borderId="6" xfId="0" applyFont="1" applyFill="1" applyBorder="1" applyAlignment="1">
      <alignment horizontal="right"/>
    </xf>
    <xf numFmtId="164" fontId="4" fillId="3" borderId="0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horizontal="right" vertical="center"/>
    </xf>
    <xf numFmtId="0" fontId="18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right" vertical="center"/>
    </xf>
    <xf numFmtId="0" fontId="18" fillId="0" borderId="6" xfId="0" applyFont="1" applyBorder="1" applyAlignment="1">
      <alignment vertical="center"/>
    </xf>
    <xf numFmtId="164" fontId="15" fillId="0" borderId="6" xfId="0" applyNumberFormat="1" applyFont="1" applyBorder="1" applyAlignment="1">
      <alignment horizontal="right" vertical="center"/>
    </xf>
    <xf numFmtId="164" fontId="18" fillId="0" borderId="6" xfId="0" applyNumberFormat="1" applyFont="1" applyBorder="1" applyAlignment="1">
      <alignment horizontal="right" vertical="center"/>
    </xf>
    <xf numFmtId="0" fontId="15" fillId="9" borderId="12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164" fontId="2" fillId="0" borderId="6" xfId="0" applyNumberFormat="1" applyFont="1" applyFill="1" applyBorder="1" applyAlignment="1">
      <alignment horizontal="right"/>
    </xf>
    <xf numFmtId="164" fontId="2" fillId="6" borderId="6" xfId="0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164" fontId="4" fillId="6" borderId="31" xfId="0" applyNumberFormat="1" applyFont="1" applyFill="1" applyBorder="1" applyAlignment="1">
      <alignment horizontal="right" vertical="center"/>
    </xf>
    <xf numFmtId="164" fontId="4" fillId="6" borderId="15" xfId="0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horizontal="left" vertical="center"/>
    </xf>
    <xf numFmtId="0" fontId="15" fillId="4" borderId="6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right" vertical="center"/>
    </xf>
    <xf numFmtId="164" fontId="15" fillId="4" borderId="6" xfId="0" applyNumberFormat="1" applyFont="1" applyFill="1" applyBorder="1" applyAlignment="1">
      <alignment horizontal="right" vertical="center"/>
    </xf>
    <xf numFmtId="164" fontId="18" fillId="4" borderId="6" xfId="0" applyNumberFormat="1" applyFont="1" applyFill="1" applyBorder="1" applyAlignment="1">
      <alignment horizontal="right" vertical="center"/>
    </xf>
    <xf numFmtId="0" fontId="15" fillId="4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vertical="center"/>
    </xf>
    <xf numFmtId="0" fontId="18" fillId="5" borderId="6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right" vertical="center"/>
    </xf>
    <xf numFmtId="164" fontId="15" fillId="5" borderId="6" xfId="0" applyNumberFormat="1" applyFont="1" applyFill="1" applyBorder="1" applyAlignment="1">
      <alignment horizontal="right" vertical="center"/>
    </xf>
    <xf numFmtId="164" fontId="18" fillId="5" borderId="6" xfId="0" applyNumberFormat="1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right" vertical="center"/>
    </xf>
    <xf numFmtId="164" fontId="15" fillId="0" borderId="6" xfId="0" applyNumberFormat="1" applyFont="1" applyBorder="1" applyAlignment="1">
      <alignment vertical="center"/>
    </xf>
    <xf numFmtId="0" fontId="21" fillId="2" borderId="2" xfId="0" applyFont="1" applyFill="1" applyBorder="1" applyAlignment="1">
      <alignment horizontal="center" vertical="center"/>
    </xf>
    <xf numFmtId="164" fontId="21" fillId="2" borderId="2" xfId="0" applyNumberFormat="1" applyFont="1" applyFill="1" applyBorder="1" applyAlignment="1">
      <alignment horizontal="right" vertical="center"/>
    </xf>
    <xf numFmtId="0" fontId="21" fillId="2" borderId="2" xfId="0" applyFont="1" applyFill="1" applyBorder="1" applyAlignment="1">
      <alignment vertical="center"/>
    </xf>
    <xf numFmtId="164" fontId="21" fillId="2" borderId="2" xfId="2" applyNumberFormat="1" applyFont="1" applyFill="1" applyBorder="1" applyAlignment="1">
      <alignment horizontal="right" vertical="center"/>
    </xf>
    <xf numFmtId="164" fontId="21" fillId="2" borderId="2" xfId="0" applyNumberFormat="1" applyFont="1" applyFill="1" applyBorder="1" applyAlignment="1">
      <alignment horizontal="center" vertical="center"/>
    </xf>
    <xf numFmtId="164" fontId="15" fillId="0" borderId="0" xfId="0" applyNumberFormat="1" applyFont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right" vertical="center"/>
    </xf>
    <xf numFmtId="0" fontId="20" fillId="0" borderId="0" xfId="0" applyFont="1" applyAlignment="1">
      <alignment vertical="center"/>
    </xf>
    <xf numFmtId="164" fontId="5" fillId="2" borderId="2" xfId="0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right"/>
    </xf>
    <xf numFmtId="0" fontId="1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14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A9A0-851F-462E-8970-43B9F2941D57}">
  <dimension ref="A1:DM443"/>
  <sheetViews>
    <sheetView tabSelected="1" topLeftCell="CU154" zoomScale="96" zoomScaleNormal="96" workbookViewId="0">
      <selection activeCell="DF159" sqref="DF159"/>
    </sheetView>
  </sheetViews>
  <sheetFormatPr defaultRowHeight="15" customHeight="1" x14ac:dyDescent="0.25"/>
  <cols>
    <col min="1" max="1" width="3.28515625" style="1" customWidth="1"/>
    <col min="4" max="4" width="10.28515625" customWidth="1"/>
    <col min="5" max="5" width="10.140625" customWidth="1"/>
    <col min="6" max="6" width="10.42578125" customWidth="1"/>
    <col min="8" max="8" width="10.42578125" customWidth="1"/>
    <col min="9" max="9" width="11.140625" customWidth="1"/>
    <col min="10" max="10" width="3" style="1" customWidth="1"/>
    <col min="14" max="14" width="10.140625" customWidth="1"/>
    <col min="15" max="15" width="10.85546875" customWidth="1"/>
    <col min="17" max="17" width="10.7109375" customWidth="1"/>
    <col min="18" max="18" width="10.140625" bestFit="1" customWidth="1"/>
    <col min="19" max="19" width="2.85546875" style="1" customWidth="1"/>
    <col min="23" max="23" width="10.7109375" customWidth="1"/>
    <col min="24" max="24" width="11.140625" customWidth="1"/>
    <col min="26" max="26" width="11.140625" customWidth="1"/>
    <col min="27" max="27" width="11" customWidth="1"/>
    <col min="28" max="28" width="3.140625" style="1" customWidth="1"/>
    <col min="32" max="32" width="10.7109375" customWidth="1"/>
    <col min="33" max="33" width="10.42578125" customWidth="1"/>
    <col min="35" max="35" width="10.140625" customWidth="1"/>
    <col min="36" max="36" width="10.85546875" customWidth="1"/>
    <col min="37" max="37" width="3.28515625" style="1" customWidth="1"/>
    <col min="41" max="41" width="11" bestFit="1" customWidth="1"/>
    <col min="42" max="42" width="10.42578125" customWidth="1"/>
    <col min="44" max="44" width="10.5703125" customWidth="1"/>
    <col min="45" max="45" width="11.140625" customWidth="1"/>
    <col min="46" max="46" width="2.85546875" style="1" customWidth="1"/>
    <col min="50" max="50" width="9.85546875" customWidth="1"/>
    <col min="51" max="51" width="10.140625" bestFit="1" customWidth="1"/>
    <col min="53" max="53" width="10.5703125" customWidth="1"/>
    <col min="55" max="55" width="2.5703125" style="1" customWidth="1"/>
    <col min="59" max="59" width="10" bestFit="1" customWidth="1"/>
    <col min="60" max="60" width="10.5703125" customWidth="1"/>
    <col min="62" max="62" width="10.140625" bestFit="1" customWidth="1"/>
    <col min="64" max="64" width="3.28515625" style="1" customWidth="1"/>
    <col min="67" max="67" width="9.28515625" customWidth="1"/>
    <col min="68" max="68" width="10" customWidth="1"/>
    <col min="69" max="69" width="10.140625" bestFit="1" customWidth="1"/>
    <col min="71" max="71" width="10.140625" bestFit="1" customWidth="1"/>
    <col min="73" max="73" width="3" style="1" customWidth="1"/>
    <col min="77" max="77" width="10.140625" bestFit="1" customWidth="1"/>
    <col min="78" max="78" width="10.28515625" customWidth="1"/>
    <col min="80" max="80" width="10" customWidth="1"/>
    <col min="82" max="82" width="2.5703125" style="1" customWidth="1"/>
    <col min="86" max="86" width="10" customWidth="1"/>
    <col min="87" max="87" width="11.85546875" customWidth="1"/>
    <col min="89" max="89" width="10.5703125" customWidth="1"/>
    <col min="91" max="91" width="2.5703125" style="1" customWidth="1"/>
    <col min="95" max="95" width="10" customWidth="1"/>
    <col min="96" max="96" width="10.140625" customWidth="1"/>
    <col min="98" max="98" width="10.140625" bestFit="1" customWidth="1"/>
    <col min="100" max="100" width="2.7109375" style="1" customWidth="1"/>
    <col min="104" max="104" width="11.140625" customWidth="1"/>
    <col min="105" max="105" width="10.140625" customWidth="1"/>
    <col min="107" max="107" width="10.140625" customWidth="1"/>
    <col min="109" max="109" width="2.5703125" style="1" customWidth="1"/>
    <col min="113" max="113" width="10" bestFit="1" customWidth="1"/>
    <col min="114" max="114" width="10" customWidth="1"/>
    <col min="116" max="116" width="10.140625" customWidth="1"/>
  </cols>
  <sheetData>
    <row r="1" spans="2:117" x14ac:dyDescent="0.25">
      <c r="B1" s="231" t="s">
        <v>19</v>
      </c>
      <c r="C1" s="231"/>
      <c r="D1" s="231"/>
      <c r="E1" s="231"/>
      <c r="F1" s="231"/>
      <c r="G1" s="231"/>
      <c r="H1" s="231"/>
      <c r="I1" s="231"/>
      <c r="K1" s="231" t="s">
        <v>19</v>
      </c>
      <c r="L1" s="231"/>
      <c r="M1" s="231"/>
      <c r="N1" s="231"/>
      <c r="O1" s="231"/>
      <c r="P1" s="231"/>
      <c r="Q1" s="231"/>
      <c r="R1" s="231"/>
      <c r="T1" s="231" t="s">
        <v>19</v>
      </c>
      <c r="U1" s="231"/>
      <c r="V1" s="231"/>
      <c r="W1" s="231"/>
      <c r="X1" s="231"/>
      <c r="Y1" s="231"/>
      <c r="Z1" s="231"/>
      <c r="AA1" s="231"/>
      <c r="AC1" s="231" t="s">
        <v>19</v>
      </c>
      <c r="AD1" s="231"/>
      <c r="AE1" s="231"/>
      <c r="AF1" s="231"/>
      <c r="AG1" s="231"/>
      <c r="AH1" s="231"/>
      <c r="AI1" s="231"/>
      <c r="AJ1" s="231"/>
      <c r="AL1" s="231" t="s">
        <v>19</v>
      </c>
      <c r="AM1" s="231"/>
      <c r="AN1" s="231"/>
      <c r="AO1" s="231"/>
      <c r="AP1" s="231"/>
      <c r="AQ1" s="231"/>
      <c r="AR1" s="231"/>
      <c r="AS1" s="231"/>
      <c r="AU1" s="231" t="s">
        <v>19</v>
      </c>
      <c r="AV1" s="231"/>
      <c r="AW1" s="231"/>
      <c r="AX1" s="231"/>
      <c r="AY1" s="231"/>
      <c r="AZ1" s="231"/>
      <c r="BA1" s="231"/>
      <c r="BB1" s="231"/>
      <c r="BD1" s="231" t="s">
        <v>19</v>
      </c>
      <c r="BE1" s="231"/>
      <c r="BF1" s="231"/>
      <c r="BG1" s="231"/>
      <c r="BH1" s="231"/>
      <c r="BI1" s="231"/>
      <c r="BJ1" s="231"/>
      <c r="BK1" s="231"/>
      <c r="BM1" s="231" t="s">
        <v>19</v>
      </c>
      <c r="BN1" s="231"/>
      <c r="BO1" s="231"/>
      <c r="BP1" s="231"/>
      <c r="BQ1" s="231"/>
      <c r="BR1" s="231"/>
      <c r="BS1" s="231"/>
      <c r="BT1" s="231"/>
      <c r="BV1" s="231" t="s">
        <v>19</v>
      </c>
      <c r="BW1" s="231"/>
      <c r="BX1" s="231"/>
      <c r="BY1" s="231"/>
      <c r="BZ1" s="231"/>
      <c r="CA1" s="231"/>
      <c r="CB1" s="231"/>
      <c r="CC1" s="231"/>
      <c r="CE1" s="231" t="s">
        <v>19</v>
      </c>
      <c r="CF1" s="231"/>
      <c r="CG1" s="231"/>
      <c r="CH1" s="231"/>
      <c r="CI1" s="231"/>
      <c r="CJ1" s="231"/>
      <c r="CK1" s="231"/>
      <c r="CL1" s="231"/>
      <c r="CN1" s="231" t="s">
        <v>19</v>
      </c>
      <c r="CO1" s="231"/>
      <c r="CP1" s="231"/>
      <c r="CQ1" s="231"/>
      <c r="CR1" s="231"/>
      <c r="CS1" s="231"/>
      <c r="CT1" s="231"/>
      <c r="CU1" s="231"/>
      <c r="CW1" s="231" t="s">
        <v>19</v>
      </c>
      <c r="CX1" s="231"/>
      <c r="CY1" s="231"/>
      <c r="CZ1" s="231"/>
      <c r="DA1" s="231"/>
      <c r="DB1" s="231"/>
      <c r="DC1" s="231"/>
      <c r="DD1" s="231"/>
      <c r="DF1" s="231" t="s">
        <v>19</v>
      </c>
      <c r="DG1" s="231"/>
      <c r="DH1" s="231"/>
      <c r="DI1" s="231"/>
      <c r="DJ1" s="231"/>
      <c r="DK1" s="231"/>
      <c r="DL1" s="231"/>
      <c r="DM1" s="231"/>
    </row>
    <row r="2" spans="2:117" x14ac:dyDescent="0.25">
      <c r="B2" s="231"/>
      <c r="C2" s="231"/>
      <c r="D2" s="231"/>
      <c r="E2" s="231"/>
      <c r="F2" s="231"/>
      <c r="G2" s="231"/>
      <c r="H2" s="231"/>
      <c r="I2" s="231"/>
      <c r="K2" s="231"/>
      <c r="L2" s="231"/>
      <c r="M2" s="231"/>
      <c r="N2" s="231"/>
      <c r="O2" s="231"/>
      <c r="P2" s="231"/>
      <c r="Q2" s="231"/>
      <c r="R2" s="231"/>
      <c r="T2" s="231"/>
      <c r="U2" s="231"/>
      <c r="V2" s="231"/>
      <c r="W2" s="231"/>
      <c r="X2" s="231"/>
      <c r="Y2" s="231"/>
      <c r="Z2" s="231"/>
      <c r="AA2" s="231"/>
      <c r="AC2" s="231"/>
      <c r="AD2" s="231"/>
      <c r="AE2" s="231"/>
      <c r="AF2" s="231"/>
      <c r="AG2" s="231"/>
      <c r="AH2" s="231"/>
      <c r="AI2" s="231"/>
      <c r="AJ2" s="231"/>
      <c r="AL2" s="231"/>
      <c r="AM2" s="231"/>
      <c r="AN2" s="231"/>
      <c r="AO2" s="231"/>
      <c r="AP2" s="231"/>
      <c r="AQ2" s="231"/>
      <c r="AR2" s="231"/>
      <c r="AS2" s="231"/>
      <c r="AU2" s="231"/>
      <c r="AV2" s="231"/>
      <c r="AW2" s="231"/>
      <c r="AX2" s="231"/>
      <c r="AY2" s="231"/>
      <c r="AZ2" s="231"/>
      <c r="BA2" s="231"/>
      <c r="BB2" s="231"/>
      <c r="BD2" s="231"/>
      <c r="BE2" s="231"/>
      <c r="BF2" s="231"/>
      <c r="BG2" s="231"/>
      <c r="BH2" s="231"/>
      <c r="BI2" s="231"/>
      <c r="BJ2" s="231"/>
      <c r="BK2" s="231"/>
      <c r="BM2" s="231"/>
      <c r="BN2" s="231"/>
      <c r="BO2" s="231"/>
      <c r="BP2" s="231"/>
      <c r="BQ2" s="231"/>
      <c r="BR2" s="231"/>
      <c r="BS2" s="231"/>
      <c r="BT2" s="231"/>
      <c r="BV2" s="231"/>
      <c r="BW2" s="231"/>
      <c r="BX2" s="231"/>
      <c r="BY2" s="231"/>
      <c r="BZ2" s="231"/>
      <c r="CA2" s="231"/>
      <c r="CB2" s="231"/>
      <c r="CC2" s="231"/>
      <c r="CE2" s="231"/>
      <c r="CF2" s="231"/>
      <c r="CG2" s="231"/>
      <c r="CH2" s="231"/>
      <c r="CI2" s="231"/>
      <c r="CJ2" s="231"/>
      <c r="CK2" s="231"/>
      <c r="CL2" s="231"/>
      <c r="CN2" s="231"/>
      <c r="CO2" s="231"/>
      <c r="CP2" s="231"/>
      <c r="CQ2" s="231"/>
      <c r="CR2" s="231"/>
      <c r="CS2" s="231"/>
      <c r="CT2" s="231"/>
      <c r="CU2" s="231"/>
      <c r="CW2" s="231"/>
      <c r="CX2" s="231"/>
      <c r="CY2" s="231"/>
      <c r="CZ2" s="231"/>
      <c r="DA2" s="231"/>
      <c r="DB2" s="231"/>
      <c r="DC2" s="231"/>
      <c r="DD2" s="231"/>
      <c r="DF2" s="231"/>
      <c r="DG2" s="231"/>
      <c r="DH2" s="231"/>
      <c r="DI2" s="231"/>
      <c r="DJ2" s="231"/>
      <c r="DK2" s="231"/>
      <c r="DL2" s="231"/>
      <c r="DM2" s="231"/>
    </row>
    <row r="3" spans="2:117" ht="15.75" x14ac:dyDescent="0.25">
      <c r="B3" s="28" t="s">
        <v>18</v>
      </c>
      <c r="C3" s="27" t="s">
        <v>17</v>
      </c>
      <c r="D3" s="26"/>
      <c r="E3" s="26"/>
      <c r="F3" s="26"/>
      <c r="G3" s="26"/>
      <c r="H3" s="232" t="s">
        <v>147</v>
      </c>
      <c r="I3" s="233"/>
      <c r="K3" s="28" t="s">
        <v>18</v>
      </c>
      <c r="L3" s="27" t="s">
        <v>74</v>
      </c>
      <c r="M3" s="26"/>
      <c r="N3" s="26"/>
      <c r="O3" s="26"/>
      <c r="P3" s="26"/>
      <c r="Q3" s="232" t="s">
        <v>146</v>
      </c>
      <c r="R3" s="233"/>
      <c r="T3" s="28" t="s">
        <v>18</v>
      </c>
      <c r="U3" s="27" t="s">
        <v>45</v>
      </c>
      <c r="V3" s="26"/>
      <c r="W3" s="26"/>
      <c r="X3" s="26"/>
      <c r="Y3" s="26"/>
      <c r="Z3" s="232" t="s">
        <v>142</v>
      </c>
      <c r="AA3" s="233"/>
      <c r="AC3" s="28" t="s">
        <v>18</v>
      </c>
      <c r="AD3" s="27" t="s">
        <v>17</v>
      </c>
      <c r="AE3" s="26"/>
      <c r="AF3" s="26"/>
      <c r="AG3" s="26"/>
      <c r="AH3" s="26"/>
      <c r="AI3" s="232" t="s">
        <v>140</v>
      </c>
      <c r="AJ3" s="233"/>
      <c r="AL3" s="28" t="s">
        <v>18</v>
      </c>
      <c r="AM3" s="27" t="s">
        <v>17</v>
      </c>
      <c r="AN3" s="26"/>
      <c r="AO3" s="26"/>
      <c r="AP3" s="26"/>
      <c r="AQ3" s="26"/>
      <c r="AR3" s="232" t="s">
        <v>139</v>
      </c>
      <c r="AS3" s="233"/>
      <c r="AU3" s="28" t="s">
        <v>18</v>
      </c>
      <c r="AV3" s="27" t="s">
        <v>34</v>
      </c>
      <c r="AW3" s="26"/>
      <c r="AX3" s="26"/>
      <c r="AY3" s="26"/>
      <c r="AZ3" s="26"/>
      <c r="BA3" s="232" t="s">
        <v>95</v>
      </c>
      <c r="BB3" s="233"/>
      <c r="BD3" s="28" t="s">
        <v>18</v>
      </c>
      <c r="BE3" s="27" t="s">
        <v>34</v>
      </c>
      <c r="BF3" s="26"/>
      <c r="BG3" s="26"/>
      <c r="BH3" s="26"/>
      <c r="BI3" s="26"/>
      <c r="BJ3" s="232" t="s">
        <v>108</v>
      </c>
      <c r="BK3" s="233"/>
      <c r="BM3" s="28" t="s">
        <v>18</v>
      </c>
      <c r="BN3" s="27" t="s">
        <v>34</v>
      </c>
      <c r="BO3" s="26"/>
      <c r="BP3" s="26"/>
      <c r="BQ3" s="26"/>
      <c r="BR3" s="26"/>
      <c r="BS3" s="232" t="s">
        <v>117</v>
      </c>
      <c r="BT3" s="233"/>
      <c r="BV3" s="28" t="s">
        <v>18</v>
      </c>
      <c r="BW3" s="27" t="s">
        <v>34</v>
      </c>
      <c r="BX3" s="26"/>
      <c r="BY3" s="26"/>
      <c r="BZ3" s="26"/>
      <c r="CA3" s="26"/>
      <c r="CB3" s="232" t="s">
        <v>130</v>
      </c>
      <c r="CC3" s="233"/>
      <c r="CE3" s="28" t="s">
        <v>18</v>
      </c>
      <c r="CF3" s="27" t="s">
        <v>74</v>
      </c>
      <c r="CG3" s="26"/>
      <c r="CH3" s="26"/>
      <c r="CI3" s="26"/>
      <c r="CJ3" s="26"/>
      <c r="CK3" s="232" t="s">
        <v>138</v>
      </c>
      <c r="CL3" s="233"/>
      <c r="CN3" s="28" t="s">
        <v>18</v>
      </c>
      <c r="CO3" s="27" t="s">
        <v>74</v>
      </c>
      <c r="CP3" s="26"/>
      <c r="CQ3" s="26"/>
      <c r="CR3" s="26"/>
      <c r="CS3" s="26"/>
      <c r="CT3" s="232" t="s">
        <v>156</v>
      </c>
      <c r="CU3" s="233"/>
      <c r="CW3" s="28" t="s">
        <v>18</v>
      </c>
      <c r="CX3" s="27" t="s">
        <v>28</v>
      </c>
      <c r="CY3" s="26"/>
      <c r="CZ3" s="26"/>
      <c r="DA3" s="26"/>
      <c r="DB3" s="26"/>
      <c r="DC3" s="232" t="s">
        <v>173</v>
      </c>
      <c r="DD3" s="233"/>
      <c r="DF3" s="28" t="s">
        <v>18</v>
      </c>
      <c r="DG3" s="27" t="s">
        <v>153</v>
      </c>
      <c r="DH3" s="26"/>
      <c r="DI3" s="26"/>
      <c r="DJ3" s="26"/>
      <c r="DK3" s="26"/>
      <c r="DL3" s="232" t="s">
        <v>182</v>
      </c>
      <c r="DM3" s="233"/>
    </row>
    <row r="4" spans="2:117" ht="15.75" x14ac:dyDescent="0.25">
      <c r="B4" s="28" t="s">
        <v>16</v>
      </c>
      <c r="C4" s="27" t="s">
        <v>15</v>
      </c>
      <c r="D4" s="26"/>
      <c r="E4" s="26"/>
      <c r="F4" s="26"/>
      <c r="G4" s="26"/>
      <c r="H4" s="234"/>
      <c r="I4" s="235"/>
      <c r="K4" s="28" t="s">
        <v>16</v>
      </c>
      <c r="L4" s="27" t="s">
        <v>73</v>
      </c>
      <c r="M4" s="26"/>
      <c r="N4" s="26"/>
      <c r="O4" s="26"/>
      <c r="P4" s="26"/>
      <c r="Q4" s="234"/>
      <c r="R4" s="235"/>
      <c r="T4" s="28" t="s">
        <v>16</v>
      </c>
      <c r="U4" s="27" t="s">
        <v>44</v>
      </c>
      <c r="V4" s="26"/>
      <c r="W4" s="26"/>
      <c r="X4" s="26"/>
      <c r="Y4" s="26"/>
      <c r="Z4" s="234"/>
      <c r="AA4" s="235"/>
      <c r="AC4" s="28" t="s">
        <v>16</v>
      </c>
      <c r="AD4" s="27" t="s">
        <v>15</v>
      </c>
      <c r="AE4" s="26"/>
      <c r="AF4" s="26"/>
      <c r="AG4" s="26"/>
      <c r="AH4" s="26"/>
      <c r="AI4" s="234"/>
      <c r="AJ4" s="235"/>
      <c r="AL4" s="28" t="s">
        <v>16</v>
      </c>
      <c r="AM4" s="27" t="s">
        <v>15</v>
      </c>
      <c r="AN4" s="26"/>
      <c r="AO4" s="26"/>
      <c r="AP4" s="26"/>
      <c r="AQ4" s="26"/>
      <c r="AR4" s="234"/>
      <c r="AS4" s="235"/>
      <c r="AU4" s="28" t="s">
        <v>16</v>
      </c>
      <c r="AV4" s="27" t="s">
        <v>39</v>
      </c>
      <c r="AW4" s="26"/>
      <c r="AX4" s="26"/>
      <c r="AY4" s="26"/>
      <c r="AZ4" s="26"/>
      <c r="BA4" s="234"/>
      <c r="BB4" s="235"/>
      <c r="BD4" s="28" t="s">
        <v>16</v>
      </c>
      <c r="BE4" s="27" t="s">
        <v>39</v>
      </c>
      <c r="BF4" s="26"/>
      <c r="BG4" s="26"/>
      <c r="BH4" s="26"/>
      <c r="BI4" s="26"/>
      <c r="BJ4" s="234"/>
      <c r="BK4" s="235"/>
      <c r="BM4" s="28" t="s">
        <v>16</v>
      </c>
      <c r="BN4" s="27" t="s">
        <v>33</v>
      </c>
      <c r="BO4" s="26"/>
      <c r="BP4" s="26"/>
      <c r="BQ4" s="26"/>
      <c r="BR4" s="26"/>
      <c r="BS4" s="234"/>
      <c r="BT4" s="235"/>
      <c r="BV4" s="28" t="s">
        <v>16</v>
      </c>
      <c r="BW4" s="27" t="s">
        <v>33</v>
      </c>
      <c r="BX4" s="26"/>
      <c r="BY4" s="26"/>
      <c r="BZ4" s="26"/>
      <c r="CA4" s="26"/>
      <c r="CB4" s="234"/>
      <c r="CC4" s="235"/>
      <c r="CE4" s="28" t="s">
        <v>16</v>
      </c>
      <c r="CF4" s="27" t="s">
        <v>93</v>
      </c>
      <c r="CG4" s="26"/>
      <c r="CH4" s="26"/>
      <c r="CI4" s="26"/>
      <c r="CJ4" s="26"/>
      <c r="CK4" s="234"/>
      <c r="CL4" s="235"/>
      <c r="CN4" s="28" t="s">
        <v>16</v>
      </c>
      <c r="CO4" s="27" t="s">
        <v>93</v>
      </c>
      <c r="CP4" s="26"/>
      <c r="CQ4" s="26"/>
      <c r="CR4" s="26"/>
      <c r="CS4" s="26"/>
      <c r="CT4" s="234"/>
      <c r="CU4" s="235"/>
      <c r="CW4" s="28" t="s">
        <v>16</v>
      </c>
      <c r="CX4" s="27" t="s">
        <v>27</v>
      </c>
      <c r="CY4" s="26"/>
      <c r="CZ4" s="26"/>
      <c r="DA4" s="26"/>
      <c r="DB4" s="26"/>
      <c r="DC4" s="234"/>
      <c r="DD4" s="235"/>
      <c r="DF4" s="28" t="s">
        <v>16</v>
      </c>
      <c r="DG4" s="27" t="s">
        <v>183</v>
      </c>
      <c r="DH4" s="26"/>
      <c r="DI4" s="26"/>
      <c r="DJ4" s="26"/>
      <c r="DK4" s="26"/>
      <c r="DL4" s="234"/>
      <c r="DM4" s="235"/>
    </row>
    <row r="5" spans="2:117" ht="15.75" x14ac:dyDescent="0.25">
      <c r="B5" s="25"/>
      <c r="C5" s="25"/>
      <c r="D5" s="25"/>
      <c r="E5" s="25"/>
      <c r="F5" s="25"/>
      <c r="G5" s="225" t="s">
        <v>64</v>
      </c>
      <c r="H5" s="225"/>
      <c r="I5" s="225"/>
      <c r="K5" s="25"/>
      <c r="L5" s="25"/>
      <c r="M5" s="25"/>
      <c r="N5" s="25"/>
      <c r="O5" s="25"/>
      <c r="P5" s="225" t="s">
        <v>56</v>
      </c>
      <c r="Q5" s="225"/>
      <c r="R5" s="225"/>
      <c r="T5" s="25"/>
      <c r="U5" s="25"/>
      <c r="V5" s="25"/>
      <c r="W5" s="25"/>
      <c r="X5" s="25"/>
      <c r="Y5" s="225" t="s">
        <v>31</v>
      </c>
      <c r="Z5" s="225"/>
      <c r="AA5" s="225"/>
      <c r="AC5" s="25"/>
      <c r="AD5" s="25"/>
      <c r="AE5" s="25"/>
      <c r="AF5" s="25"/>
      <c r="AG5" s="25"/>
      <c r="AH5" s="225" t="s">
        <v>72</v>
      </c>
      <c r="AI5" s="225"/>
      <c r="AJ5" s="225"/>
      <c r="AL5" s="60" t="s">
        <v>52</v>
      </c>
      <c r="AM5" s="25"/>
      <c r="AN5" s="25"/>
      <c r="AO5" s="25"/>
      <c r="AP5" s="25"/>
      <c r="AQ5" s="225" t="s">
        <v>71</v>
      </c>
      <c r="AR5" s="225"/>
      <c r="AS5" s="225"/>
      <c r="AU5" s="43"/>
      <c r="AV5" s="25"/>
      <c r="AW5" s="25"/>
      <c r="AX5" s="25"/>
      <c r="AY5" s="25"/>
      <c r="AZ5" s="225" t="s">
        <v>91</v>
      </c>
      <c r="BA5" s="225"/>
      <c r="BB5" s="225"/>
      <c r="BD5" s="43"/>
      <c r="BE5" s="25"/>
      <c r="BF5" s="25"/>
      <c r="BG5" s="25"/>
      <c r="BH5" s="25"/>
      <c r="BI5" s="225" t="s">
        <v>103</v>
      </c>
      <c r="BJ5" s="225"/>
      <c r="BK5" s="225"/>
      <c r="BM5" s="43"/>
      <c r="BN5" s="25"/>
      <c r="BO5" s="25"/>
      <c r="BP5" s="25"/>
      <c r="BQ5" s="25"/>
      <c r="BR5" s="225" t="s">
        <v>116</v>
      </c>
      <c r="BS5" s="225"/>
      <c r="BT5" s="225"/>
      <c r="BV5" s="43"/>
      <c r="BW5" s="25"/>
      <c r="BX5" s="25"/>
      <c r="BY5" s="25"/>
      <c r="BZ5" s="25"/>
      <c r="CA5" s="225" t="s">
        <v>128</v>
      </c>
      <c r="CB5" s="225"/>
      <c r="CC5" s="225"/>
      <c r="CE5" s="43"/>
      <c r="CF5" s="25"/>
      <c r="CG5" s="25"/>
      <c r="CH5" s="25"/>
      <c r="CI5" s="25"/>
      <c r="CJ5" s="225" t="s">
        <v>135</v>
      </c>
      <c r="CK5" s="225"/>
      <c r="CL5" s="225"/>
      <c r="CN5" s="43"/>
      <c r="CO5" s="25"/>
      <c r="CP5" s="25"/>
      <c r="CQ5" s="25"/>
      <c r="CR5" s="25"/>
      <c r="CS5" s="225" t="s">
        <v>157</v>
      </c>
      <c r="CT5" s="225"/>
      <c r="CU5" s="225"/>
      <c r="CW5" s="43"/>
      <c r="CX5" s="25"/>
      <c r="CY5" s="25"/>
      <c r="CZ5" s="25"/>
      <c r="DA5" s="25"/>
      <c r="DB5" s="225" t="s">
        <v>174</v>
      </c>
      <c r="DC5" s="225"/>
      <c r="DD5" s="225"/>
      <c r="DF5" s="43"/>
      <c r="DG5" s="25"/>
      <c r="DH5" s="25"/>
      <c r="DI5" s="25"/>
      <c r="DJ5" s="25"/>
      <c r="DK5" s="225" t="s">
        <v>184</v>
      </c>
      <c r="DL5" s="225"/>
      <c r="DM5" s="225"/>
    </row>
    <row r="6" spans="2:117" ht="15.75" x14ac:dyDescent="0.25">
      <c r="B6" s="226" t="s">
        <v>13</v>
      </c>
      <c r="C6" s="227"/>
      <c r="D6" s="228"/>
      <c r="E6" s="227" t="s">
        <v>12</v>
      </c>
      <c r="F6" s="228"/>
      <c r="G6" s="227" t="s">
        <v>12</v>
      </c>
      <c r="H6" s="228"/>
      <c r="I6" s="229" t="s">
        <v>11</v>
      </c>
      <c r="K6" s="226" t="s">
        <v>13</v>
      </c>
      <c r="L6" s="227"/>
      <c r="M6" s="228"/>
      <c r="N6" s="227" t="s">
        <v>12</v>
      </c>
      <c r="O6" s="228"/>
      <c r="P6" s="227" t="s">
        <v>12</v>
      </c>
      <c r="Q6" s="228"/>
      <c r="R6" s="229" t="s">
        <v>11</v>
      </c>
      <c r="T6" s="226" t="s">
        <v>13</v>
      </c>
      <c r="U6" s="227"/>
      <c r="V6" s="228"/>
      <c r="W6" s="227" t="s">
        <v>12</v>
      </c>
      <c r="X6" s="228"/>
      <c r="Y6" s="227" t="s">
        <v>12</v>
      </c>
      <c r="Z6" s="228"/>
      <c r="AA6" s="229" t="s">
        <v>11</v>
      </c>
      <c r="AC6" s="226" t="s">
        <v>13</v>
      </c>
      <c r="AD6" s="227"/>
      <c r="AE6" s="228"/>
      <c r="AF6" s="227" t="s">
        <v>12</v>
      </c>
      <c r="AG6" s="228"/>
      <c r="AH6" s="227" t="s">
        <v>12</v>
      </c>
      <c r="AI6" s="228"/>
      <c r="AJ6" s="229" t="s">
        <v>11</v>
      </c>
      <c r="AL6" s="226" t="s">
        <v>13</v>
      </c>
      <c r="AM6" s="227"/>
      <c r="AN6" s="228"/>
      <c r="AO6" s="227" t="s">
        <v>12</v>
      </c>
      <c r="AP6" s="228"/>
      <c r="AQ6" s="227" t="s">
        <v>12</v>
      </c>
      <c r="AR6" s="228"/>
      <c r="AS6" s="229" t="s">
        <v>11</v>
      </c>
      <c r="AU6" s="226" t="s">
        <v>13</v>
      </c>
      <c r="AV6" s="227"/>
      <c r="AW6" s="228"/>
      <c r="AX6" s="227" t="s">
        <v>12</v>
      </c>
      <c r="AY6" s="228"/>
      <c r="AZ6" s="227" t="s">
        <v>12</v>
      </c>
      <c r="BA6" s="228"/>
      <c r="BB6" s="229" t="s">
        <v>11</v>
      </c>
      <c r="BD6" s="226" t="s">
        <v>13</v>
      </c>
      <c r="BE6" s="227"/>
      <c r="BF6" s="228"/>
      <c r="BG6" s="227" t="s">
        <v>12</v>
      </c>
      <c r="BH6" s="228"/>
      <c r="BI6" s="227" t="s">
        <v>12</v>
      </c>
      <c r="BJ6" s="228"/>
      <c r="BK6" s="229" t="s">
        <v>11</v>
      </c>
      <c r="BM6" s="226" t="s">
        <v>13</v>
      </c>
      <c r="BN6" s="227"/>
      <c r="BO6" s="228"/>
      <c r="BP6" s="227" t="s">
        <v>12</v>
      </c>
      <c r="BQ6" s="228"/>
      <c r="BR6" s="227" t="s">
        <v>12</v>
      </c>
      <c r="BS6" s="228"/>
      <c r="BT6" s="229" t="s">
        <v>11</v>
      </c>
      <c r="BV6" s="226" t="s">
        <v>13</v>
      </c>
      <c r="BW6" s="227"/>
      <c r="BX6" s="228"/>
      <c r="BY6" s="227" t="s">
        <v>12</v>
      </c>
      <c r="BZ6" s="228"/>
      <c r="CA6" s="227" t="s">
        <v>12</v>
      </c>
      <c r="CB6" s="228"/>
      <c r="CC6" s="229" t="s">
        <v>11</v>
      </c>
      <c r="CE6" s="226" t="s">
        <v>13</v>
      </c>
      <c r="CF6" s="227"/>
      <c r="CG6" s="228"/>
      <c r="CH6" s="227" t="s">
        <v>12</v>
      </c>
      <c r="CI6" s="228"/>
      <c r="CJ6" s="227" t="s">
        <v>12</v>
      </c>
      <c r="CK6" s="228"/>
      <c r="CL6" s="229" t="s">
        <v>11</v>
      </c>
      <c r="CN6" s="226" t="s">
        <v>13</v>
      </c>
      <c r="CO6" s="227"/>
      <c r="CP6" s="228"/>
      <c r="CQ6" s="227" t="s">
        <v>12</v>
      </c>
      <c r="CR6" s="228"/>
      <c r="CS6" s="227" t="s">
        <v>12</v>
      </c>
      <c r="CT6" s="228"/>
      <c r="CU6" s="229" t="s">
        <v>11</v>
      </c>
      <c r="CW6" s="226" t="s">
        <v>13</v>
      </c>
      <c r="CX6" s="227"/>
      <c r="CY6" s="228"/>
      <c r="CZ6" s="227" t="s">
        <v>12</v>
      </c>
      <c r="DA6" s="228"/>
      <c r="DB6" s="227" t="s">
        <v>12</v>
      </c>
      <c r="DC6" s="228"/>
      <c r="DD6" s="229" t="s">
        <v>11</v>
      </c>
      <c r="DF6" s="226" t="s">
        <v>13</v>
      </c>
      <c r="DG6" s="227"/>
      <c r="DH6" s="228"/>
      <c r="DI6" s="227" t="s">
        <v>12</v>
      </c>
      <c r="DJ6" s="228"/>
      <c r="DK6" s="227" t="s">
        <v>12</v>
      </c>
      <c r="DL6" s="228"/>
      <c r="DM6" s="229" t="s">
        <v>11</v>
      </c>
    </row>
    <row r="7" spans="2:117" ht="15.75" x14ac:dyDescent="0.25">
      <c r="B7" s="24" t="s">
        <v>10</v>
      </c>
      <c r="C7" s="23" t="s">
        <v>9</v>
      </c>
      <c r="D7" s="23" t="s">
        <v>8</v>
      </c>
      <c r="E7" s="22" t="s">
        <v>7</v>
      </c>
      <c r="F7" s="21" t="s">
        <v>6</v>
      </c>
      <c r="G7" s="22" t="s">
        <v>7</v>
      </c>
      <c r="H7" s="21" t="s">
        <v>6</v>
      </c>
      <c r="I7" s="230"/>
      <c r="K7" s="24" t="s">
        <v>10</v>
      </c>
      <c r="L7" s="23" t="s">
        <v>9</v>
      </c>
      <c r="M7" s="23" t="s">
        <v>8</v>
      </c>
      <c r="N7" s="22" t="s">
        <v>7</v>
      </c>
      <c r="O7" s="21" t="s">
        <v>6</v>
      </c>
      <c r="P7" s="22" t="s">
        <v>7</v>
      </c>
      <c r="Q7" s="21" t="s">
        <v>6</v>
      </c>
      <c r="R7" s="230"/>
      <c r="T7" s="24" t="s">
        <v>10</v>
      </c>
      <c r="U7" s="23" t="s">
        <v>9</v>
      </c>
      <c r="V7" s="23" t="s">
        <v>8</v>
      </c>
      <c r="W7" s="22" t="s">
        <v>7</v>
      </c>
      <c r="X7" s="21" t="s">
        <v>6</v>
      </c>
      <c r="Y7" s="22" t="s">
        <v>7</v>
      </c>
      <c r="Z7" s="21" t="s">
        <v>6</v>
      </c>
      <c r="AA7" s="230"/>
      <c r="AC7" s="24" t="s">
        <v>10</v>
      </c>
      <c r="AD7" s="23" t="s">
        <v>9</v>
      </c>
      <c r="AE7" s="23" t="s">
        <v>8</v>
      </c>
      <c r="AF7" s="22" t="s">
        <v>7</v>
      </c>
      <c r="AG7" s="21" t="s">
        <v>6</v>
      </c>
      <c r="AH7" s="22" t="s">
        <v>7</v>
      </c>
      <c r="AI7" s="21" t="s">
        <v>6</v>
      </c>
      <c r="AJ7" s="230"/>
      <c r="AL7" s="24" t="s">
        <v>10</v>
      </c>
      <c r="AM7" s="23" t="s">
        <v>9</v>
      </c>
      <c r="AN7" s="23" t="s">
        <v>8</v>
      </c>
      <c r="AO7" s="22" t="s">
        <v>7</v>
      </c>
      <c r="AP7" s="21" t="s">
        <v>6</v>
      </c>
      <c r="AQ7" s="22" t="s">
        <v>7</v>
      </c>
      <c r="AR7" s="21" t="s">
        <v>6</v>
      </c>
      <c r="AS7" s="230"/>
      <c r="AU7" s="24" t="s">
        <v>10</v>
      </c>
      <c r="AV7" s="23" t="s">
        <v>9</v>
      </c>
      <c r="AW7" s="23" t="s">
        <v>8</v>
      </c>
      <c r="AX7" s="22" t="s">
        <v>7</v>
      </c>
      <c r="AY7" s="21" t="s">
        <v>6</v>
      </c>
      <c r="AZ7" s="22" t="s">
        <v>7</v>
      </c>
      <c r="BA7" s="21" t="s">
        <v>6</v>
      </c>
      <c r="BB7" s="230"/>
      <c r="BD7" s="24" t="s">
        <v>10</v>
      </c>
      <c r="BE7" s="23" t="s">
        <v>9</v>
      </c>
      <c r="BF7" s="23" t="s">
        <v>8</v>
      </c>
      <c r="BG7" s="22" t="s">
        <v>7</v>
      </c>
      <c r="BH7" s="21" t="s">
        <v>6</v>
      </c>
      <c r="BI7" s="22" t="s">
        <v>7</v>
      </c>
      <c r="BJ7" s="21" t="s">
        <v>6</v>
      </c>
      <c r="BK7" s="230"/>
      <c r="BM7" s="24" t="s">
        <v>10</v>
      </c>
      <c r="BN7" s="23" t="s">
        <v>9</v>
      </c>
      <c r="BO7" s="23" t="s">
        <v>8</v>
      </c>
      <c r="BP7" s="22" t="s">
        <v>7</v>
      </c>
      <c r="BQ7" s="21" t="s">
        <v>6</v>
      </c>
      <c r="BR7" s="22" t="s">
        <v>7</v>
      </c>
      <c r="BS7" s="21" t="s">
        <v>6</v>
      </c>
      <c r="BT7" s="230"/>
      <c r="BV7" s="24" t="s">
        <v>10</v>
      </c>
      <c r="BW7" s="23" t="s">
        <v>9</v>
      </c>
      <c r="BX7" s="23" t="s">
        <v>8</v>
      </c>
      <c r="BY7" s="22" t="s">
        <v>7</v>
      </c>
      <c r="BZ7" s="21" t="s">
        <v>6</v>
      </c>
      <c r="CA7" s="22" t="s">
        <v>7</v>
      </c>
      <c r="CB7" s="21" t="s">
        <v>6</v>
      </c>
      <c r="CC7" s="230"/>
      <c r="CE7" s="24" t="s">
        <v>10</v>
      </c>
      <c r="CF7" s="23" t="s">
        <v>9</v>
      </c>
      <c r="CG7" s="23" t="s">
        <v>8</v>
      </c>
      <c r="CH7" s="22" t="s">
        <v>7</v>
      </c>
      <c r="CI7" s="21" t="s">
        <v>6</v>
      </c>
      <c r="CJ7" s="22" t="s">
        <v>7</v>
      </c>
      <c r="CK7" s="21" t="s">
        <v>6</v>
      </c>
      <c r="CL7" s="230"/>
      <c r="CN7" s="24" t="s">
        <v>10</v>
      </c>
      <c r="CO7" s="23" t="s">
        <v>9</v>
      </c>
      <c r="CP7" s="23" t="s">
        <v>8</v>
      </c>
      <c r="CQ7" s="22" t="s">
        <v>7</v>
      </c>
      <c r="CR7" s="21" t="s">
        <v>6</v>
      </c>
      <c r="CS7" s="22" t="s">
        <v>7</v>
      </c>
      <c r="CT7" s="21" t="s">
        <v>6</v>
      </c>
      <c r="CU7" s="230"/>
      <c r="CW7" s="24" t="s">
        <v>10</v>
      </c>
      <c r="CX7" s="23" t="s">
        <v>9</v>
      </c>
      <c r="CY7" s="23" t="s">
        <v>8</v>
      </c>
      <c r="CZ7" s="22" t="s">
        <v>7</v>
      </c>
      <c r="DA7" s="21" t="s">
        <v>6</v>
      </c>
      <c r="DB7" s="22" t="s">
        <v>7</v>
      </c>
      <c r="DC7" s="21" t="s">
        <v>6</v>
      </c>
      <c r="DD7" s="230"/>
      <c r="DF7" s="24" t="s">
        <v>10</v>
      </c>
      <c r="DG7" s="23" t="s">
        <v>9</v>
      </c>
      <c r="DH7" s="23" t="s">
        <v>8</v>
      </c>
      <c r="DI7" s="22" t="s">
        <v>7</v>
      </c>
      <c r="DJ7" s="21" t="s">
        <v>6</v>
      </c>
      <c r="DK7" s="22" t="s">
        <v>7</v>
      </c>
      <c r="DL7" s="21" t="s">
        <v>6</v>
      </c>
      <c r="DM7" s="230"/>
    </row>
    <row r="8" spans="2:117" ht="15.75" x14ac:dyDescent="0.25">
      <c r="B8" s="13">
        <v>15</v>
      </c>
      <c r="C8" s="13">
        <v>25</v>
      </c>
      <c r="D8" s="13">
        <v>400</v>
      </c>
      <c r="E8" s="13">
        <v>1</v>
      </c>
      <c r="F8" s="14">
        <f t="shared" ref="F8:F26" si="0">B8*C8*D8*E8/1000000</f>
        <v>0.15</v>
      </c>
      <c r="G8" s="13"/>
      <c r="H8" s="14"/>
      <c r="I8" s="13"/>
      <c r="K8" s="13">
        <v>15</v>
      </c>
      <c r="L8" s="13">
        <v>33</v>
      </c>
      <c r="M8" s="13">
        <v>400</v>
      </c>
      <c r="N8" s="13">
        <v>3</v>
      </c>
      <c r="O8" s="14">
        <f t="shared" ref="O8:O39" si="1">K8*L8*M8*N8/1000000</f>
        <v>0.59399999999999997</v>
      </c>
      <c r="P8" s="13"/>
      <c r="Q8" s="14"/>
      <c r="R8" s="13"/>
      <c r="T8" s="13">
        <v>15</v>
      </c>
      <c r="U8" s="13">
        <v>30</v>
      </c>
      <c r="V8" s="13">
        <v>400</v>
      </c>
      <c r="W8" s="13">
        <v>1</v>
      </c>
      <c r="X8" s="14">
        <f t="shared" ref="X8:X51" si="2">T8*U8*V8*W8/1000000</f>
        <v>0.18</v>
      </c>
      <c r="Y8" s="13"/>
      <c r="Z8" s="14"/>
      <c r="AA8" s="13"/>
      <c r="AC8" s="13">
        <v>15</v>
      </c>
      <c r="AD8" s="13">
        <v>33</v>
      </c>
      <c r="AE8" s="13">
        <v>400</v>
      </c>
      <c r="AF8" s="13">
        <v>2</v>
      </c>
      <c r="AG8" s="14">
        <f t="shared" ref="AG8:AG54" si="3">AC8*AD8*AE8*AF8/1000000</f>
        <v>0.39600000000000002</v>
      </c>
      <c r="AH8" s="13"/>
      <c r="AI8" s="14"/>
      <c r="AJ8" s="13"/>
      <c r="AL8" s="122">
        <v>5</v>
      </c>
      <c r="AM8" s="122">
        <v>7</v>
      </c>
      <c r="AN8" s="122">
        <v>400</v>
      </c>
      <c r="AO8" s="122">
        <v>260</v>
      </c>
      <c r="AP8" s="123">
        <f t="shared" ref="AP8:AP13" si="4">AL8*AM8*AN8*AO8/1000000</f>
        <v>3.64</v>
      </c>
      <c r="AQ8" s="122"/>
      <c r="AR8" s="123"/>
      <c r="AS8" s="122"/>
      <c r="AU8" s="13">
        <v>10</v>
      </c>
      <c r="AV8" s="13">
        <v>15</v>
      </c>
      <c r="AW8" s="13">
        <v>400</v>
      </c>
      <c r="AX8" s="13">
        <v>10</v>
      </c>
      <c r="AY8" s="14">
        <f t="shared" ref="AY8:AY56" si="5">AU8*AV8*AW8*AX8/1000000</f>
        <v>0.6</v>
      </c>
      <c r="AZ8" s="13"/>
      <c r="BA8" s="14"/>
      <c r="BB8" s="13"/>
      <c r="BD8" s="13">
        <v>12</v>
      </c>
      <c r="BE8" s="13">
        <v>15</v>
      </c>
      <c r="BF8" s="13">
        <v>500</v>
      </c>
      <c r="BG8" s="13">
        <v>3</v>
      </c>
      <c r="BH8" s="14">
        <f t="shared" ref="BH8:BH41" si="6">BD8*BE8*BF8*BG8/1000000</f>
        <v>0.27</v>
      </c>
      <c r="BI8" s="13"/>
      <c r="BJ8" s="14"/>
      <c r="BK8" s="13"/>
      <c r="BM8" s="13">
        <v>13</v>
      </c>
      <c r="BN8" s="13">
        <v>20</v>
      </c>
      <c r="BO8" s="13">
        <v>400</v>
      </c>
      <c r="BP8" s="13">
        <v>2</v>
      </c>
      <c r="BQ8" s="14">
        <f t="shared" ref="BQ8:BQ40" si="7">BM8*BN8*BO8*BP8/1000000</f>
        <v>0.20799999999999999</v>
      </c>
      <c r="BR8" s="13"/>
      <c r="BS8" s="14"/>
      <c r="BT8" s="13"/>
      <c r="BV8" s="13">
        <v>15</v>
      </c>
      <c r="BW8" s="13">
        <v>30</v>
      </c>
      <c r="BX8" s="13">
        <v>400</v>
      </c>
      <c r="BY8" s="13">
        <v>1</v>
      </c>
      <c r="BZ8" s="14">
        <f t="shared" ref="BZ8:BZ39" si="8">BV8*BW8*BX8*BY8/1000000</f>
        <v>0.18</v>
      </c>
      <c r="CA8" s="13"/>
      <c r="CB8" s="14"/>
      <c r="CC8" s="13"/>
      <c r="CE8" s="13">
        <v>15</v>
      </c>
      <c r="CF8" s="13">
        <v>25</v>
      </c>
      <c r="CG8" s="13">
        <v>400</v>
      </c>
      <c r="CH8" s="13">
        <v>1</v>
      </c>
      <c r="CI8" s="14">
        <f t="shared" ref="CI8:CI76" si="9">CE8*CF8*CG8*CH8/1000000</f>
        <v>0.15</v>
      </c>
      <c r="CJ8" s="13"/>
      <c r="CK8" s="14"/>
      <c r="CL8" s="13"/>
      <c r="CN8" s="13">
        <v>10</v>
      </c>
      <c r="CO8" s="13">
        <v>33</v>
      </c>
      <c r="CP8" s="13">
        <v>400</v>
      </c>
      <c r="CQ8" s="13">
        <v>3</v>
      </c>
      <c r="CR8" s="14">
        <f t="shared" ref="CR8:CR52" si="10">CN8*CO8*CP8*CQ8/1000000</f>
        <v>0.39600000000000002</v>
      </c>
      <c r="CS8" s="13"/>
      <c r="CT8" s="14"/>
      <c r="CU8" s="13"/>
      <c r="CW8" s="13">
        <v>13</v>
      </c>
      <c r="CX8" s="13">
        <v>30</v>
      </c>
      <c r="CY8" s="13">
        <v>400</v>
      </c>
      <c r="CZ8" s="13">
        <v>2</v>
      </c>
      <c r="DA8" s="14">
        <f t="shared" ref="DA8:DA44" si="11">CW8*CX8*CY8*CZ8/1000000</f>
        <v>0.312</v>
      </c>
      <c r="DB8" s="13"/>
      <c r="DC8" s="14"/>
      <c r="DD8" s="13"/>
      <c r="DF8" s="13">
        <v>10</v>
      </c>
      <c r="DG8" s="13">
        <v>15</v>
      </c>
      <c r="DH8" s="13">
        <v>400</v>
      </c>
      <c r="DI8" s="13">
        <v>16</v>
      </c>
      <c r="DJ8" s="14">
        <f t="shared" ref="DJ8:DJ43" si="12">DF8*DG8*DH8*DI8/1000000</f>
        <v>0.96</v>
      </c>
      <c r="DK8" s="13"/>
      <c r="DL8" s="14"/>
      <c r="DM8" s="13"/>
    </row>
    <row r="9" spans="2:117" ht="15.75" x14ac:dyDescent="0.25">
      <c r="B9" s="13">
        <v>15</v>
      </c>
      <c r="C9" s="13">
        <v>15</v>
      </c>
      <c r="D9" s="13">
        <v>400</v>
      </c>
      <c r="E9" s="13">
        <v>2</v>
      </c>
      <c r="F9" s="14">
        <f t="shared" si="0"/>
        <v>0.18</v>
      </c>
      <c r="G9" s="13"/>
      <c r="H9" s="14"/>
      <c r="I9" s="13"/>
      <c r="K9" s="13">
        <v>15</v>
      </c>
      <c r="L9" s="13">
        <v>30</v>
      </c>
      <c r="M9" s="13">
        <v>400</v>
      </c>
      <c r="N9" s="13">
        <v>3</v>
      </c>
      <c r="O9" s="14">
        <f t="shared" si="1"/>
        <v>0.54</v>
      </c>
      <c r="P9" s="13"/>
      <c r="Q9" s="14"/>
      <c r="R9" s="13"/>
      <c r="T9" s="13">
        <v>15</v>
      </c>
      <c r="U9" s="13">
        <v>25</v>
      </c>
      <c r="V9" s="13">
        <v>400</v>
      </c>
      <c r="W9" s="13">
        <v>1</v>
      </c>
      <c r="X9" s="14">
        <f t="shared" si="2"/>
        <v>0.15</v>
      </c>
      <c r="Y9" s="13"/>
      <c r="Z9" s="14"/>
      <c r="AA9" s="13"/>
      <c r="AC9" s="13">
        <v>15</v>
      </c>
      <c r="AD9" s="13">
        <v>28</v>
      </c>
      <c r="AE9" s="13">
        <v>400</v>
      </c>
      <c r="AF9" s="13">
        <v>1</v>
      </c>
      <c r="AG9" s="14">
        <f t="shared" si="3"/>
        <v>0.16800000000000001</v>
      </c>
      <c r="AH9" s="13"/>
      <c r="AI9" s="14"/>
      <c r="AJ9" s="13"/>
      <c r="AL9" s="122">
        <v>4</v>
      </c>
      <c r="AM9" s="122">
        <v>6</v>
      </c>
      <c r="AN9" s="122">
        <v>400</v>
      </c>
      <c r="AO9" s="122">
        <v>174</v>
      </c>
      <c r="AP9" s="123">
        <f t="shared" si="4"/>
        <v>1.6704000000000001</v>
      </c>
      <c r="AQ9" s="122"/>
      <c r="AR9" s="123"/>
      <c r="AS9" s="122"/>
      <c r="AU9" s="13">
        <v>10</v>
      </c>
      <c r="AV9" s="13">
        <v>17</v>
      </c>
      <c r="AW9" s="13">
        <v>400</v>
      </c>
      <c r="AX9" s="13">
        <v>1</v>
      </c>
      <c r="AY9" s="14">
        <f t="shared" si="5"/>
        <v>6.8000000000000005E-2</v>
      </c>
      <c r="AZ9" s="13"/>
      <c r="BA9" s="14"/>
      <c r="BB9" s="13"/>
      <c r="BD9" s="13">
        <v>2</v>
      </c>
      <c r="BE9" s="13">
        <v>15</v>
      </c>
      <c r="BF9" s="13">
        <v>500</v>
      </c>
      <c r="BG9" s="13">
        <v>1</v>
      </c>
      <c r="BH9" s="14">
        <f t="shared" si="6"/>
        <v>1.4999999999999999E-2</v>
      </c>
      <c r="BI9" s="13"/>
      <c r="BJ9" s="14"/>
      <c r="BK9" s="13"/>
      <c r="BM9" s="13">
        <v>13</v>
      </c>
      <c r="BN9" s="13">
        <v>25</v>
      </c>
      <c r="BO9" s="13">
        <v>400</v>
      </c>
      <c r="BP9" s="13">
        <v>5</v>
      </c>
      <c r="BQ9" s="14">
        <f t="shared" si="7"/>
        <v>0.65</v>
      </c>
      <c r="BR9" s="13"/>
      <c r="BS9" s="14"/>
      <c r="BT9" s="13"/>
      <c r="BV9" s="13">
        <v>12</v>
      </c>
      <c r="BW9" s="13">
        <v>30</v>
      </c>
      <c r="BX9" s="13">
        <v>400</v>
      </c>
      <c r="BY9" s="13">
        <v>1</v>
      </c>
      <c r="BZ9" s="14">
        <f t="shared" si="8"/>
        <v>0.14399999999999999</v>
      </c>
      <c r="CA9" s="13"/>
      <c r="CB9" s="14"/>
      <c r="CC9" s="13"/>
      <c r="CE9" s="13">
        <v>10</v>
      </c>
      <c r="CF9" s="13">
        <v>25</v>
      </c>
      <c r="CG9" s="13">
        <v>400</v>
      </c>
      <c r="CH9" s="13">
        <v>3</v>
      </c>
      <c r="CI9" s="14">
        <f t="shared" si="9"/>
        <v>0.3</v>
      </c>
      <c r="CJ9" s="13"/>
      <c r="CK9" s="14"/>
      <c r="CL9" s="13"/>
      <c r="CN9" s="13">
        <v>10</v>
      </c>
      <c r="CO9" s="13">
        <v>25</v>
      </c>
      <c r="CP9" s="13">
        <v>400</v>
      </c>
      <c r="CQ9" s="13">
        <v>6</v>
      </c>
      <c r="CR9" s="14">
        <f t="shared" si="10"/>
        <v>0.6</v>
      </c>
      <c r="CS9" s="13"/>
      <c r="CT9" s="14"/>
      <c r="CU9" s="13"/>
      <c r="CW9" s="13">
        <v>13</v>
      </c>
      <c r="CX9" s="13">
        <v>25</v>
      </c>
      <c r="CY9" s="13">
        <v>400</v>
      </c>
      <c r="CZ9" s="13">
        <v>3</v>
      </c>
      <c r="DA9" s="14">
        <f t="shared" si="11"/>
        <v>0.39</v>
      </c>
      <c r="DB9" s="13"/>
      <c r="DC9" s="14"/>
      <c r="DD9" s="13"/>
      <c r="DF9" s="13">
        <v>7</v>
      </c>
      <c r="DG9" s="13">
        <v>15</v>
      </c>
      <c r="DH9" s="13">
        <v>400</v>
      </c>
      <c r="DI9" s="13">
        <v>7</v>
      </c>
      <c r="DJ9" s="14">
        <f t="shared" si="12"/>
        <v>0.29399999999999998</v>
      </c>
      <c r="DK9" s="13"/>
      <c r="DL9" s="14"/>
      <c r="DM9" s="13"/>
    </row>
    <row r="10" spans="2:117" ht="15.75" x14ac:dyDescent="0.25">
      <c r="B10" s="13">
        <v>15</v>
      </c>
      <c r="C10" s="13">
        <v>13</v>
      </c>
      <c r="D10" s="13">
        <v>400</v>
      </c>
      <c r="E10" s="13">
        <v>1</v>
      </c>
      <c r="F10" s="14">
        <f t="shared" si="0"/>
        <v>7.8E-2</v>
      </c>
      <c r="G10" s="13">
        <f>SUM(E8:E10)</f>
        <v>4</v>
      </c>
      <c r="H10" s="14">
        <f>SUM(F8:F10)</f>
        <v>0.40799999999999997</v>
      </c>
      <c r="I10" s="13"/>
      <c r="K10" s="13">
        <v>15</v>
      </c>
      <c r="L10" s="13">
        <v>28</v>
      </c>
      <c r="M10" s="13">
        <v>400</v>
      </c>
      <c r="N10" s="13">
        <v>3</v>
      </c>
      <c r="O10" s="14">
        <f t="shared" si="1"/>
        <v>0.504</v>
      </c>
      <c r="P10" s="13"/>
      <c r="Q10" s="14"/>
      <c r="R10" s="13"/>
      <c r="T10" s="13">
        <v>15</v>
      </c>
      <c r="U10" s="13">
        <v>20</v>
      </c>
      <c r="V10" s="13">
        <v>400</v>
      </c>
      <c r="W10" s="13">
        <v>2</v>
      </c>
      <c r="X10" s="14">
        <f t="shared" si="2"/>
        <v>0.24</v>
      </c>
      <c r="Y10" s="13"/>
      <c r="Z10" s="14"/>
      <c r="AA10" s="13"/>
      <c r="AC10" s="13">
        <v>15</v>
      </c>
      <c r="AD10" s="13">
        <v>25</v>
      </c>
      <c r="AE10" s="13">
        <v>400</v>
      </c>
      <c r="AF10" s="13">
        <v>2</v>
      </c>
      <c r="AG10" s="14">
        <f t="shared" si="3"/>
        <v>0.3</v>
      </c>
      <c r="AH10" s="13"/>
      <c r="AI10" s="14"/>
      <c r="AJ10" s="13"/>
      <c r="AL10" s="122">
        <v>3</v>
      </c>
      <c r="AM10" s="122">
        <v>5</v>
      </c>
      <c r="AN10" s="122">
        <v>400</v>
      </c>
      <c r="AO10" s="122">
        <v>190</v>
      </c>
      <c r="AP10" s="123">
        <f t="shared" si="4"/>
        <v>1.1399999999999999</v>
      </c>
      <c r="AQ10" s="122"/>
      <c r="AR10" s="123"/>
      <c r="AS10" s="122"/>
      <c r="AU10" s="13">
        <v>12</v>
      </c>
      <c r="AV10" s="13">
        <v>15</v>
      </c>
      <c r="AW10" s="13">
        <v>400</v>
      </c>
      <c r="AX10" s="13">
        <v>9</v>
      </c>
      <c r="AY10" s="14">
        <f t="shared" si="5"/>
        <v>0.64800000000000002</v>
      </c>
      <c r="AZ10" s="13"/>
      <c r="BA10" s="14"/>
      <c r="BB10" s="13"/>
      <c r="BD10" s="13">
        <v>5</v>
      </c>
      <c r="BE10" s="13">
        <v>15</v>
      </c>
      <c r="BF10" s="13">
        <v>500</v>
      </c>
      <c r="BG10" s="13">
        <v>1</v>
      </c>
      <c r="BH10" s="14">
        <f t="shared" si="6"/>
        <v>3.7499999999999999E-2</v>
      </c>
      <c r="BI10" s="13"/>
      <c r="BJ10" s="14"/>
      <c r="BK10" s="13"/>
      <c r="BM10" s="13">
        <v>10</v>
      </c>
      <c r="BN10" s="13">
        <v>25</v>
      </c>
      <c r="BO10" s="13">
        <v>400</v>
      </c>
      <c r="BP10" s="13">
        <v>6</v>
      </c>
      <c r="BQ10" s="14">
        <f t="shared" si="7"/>
        <v>0.6</v>
      </c>
      <c r="BR10" s="13"/>
      <c r="BS10" s="14"/>
      <c r="BT10" s="13"/>
      <c r="BV10" s="13">
        <v>3</v>
      </c>
      <c r="BW10" s="13">
        <v>28</v>
      </c>
      <c r="BX10" s="13">
        <v>400</v>
      </c>
      <c r="BY10" s="13">
        <v>1</v>
      </c>
      <c r="BZ10" s="14">
        <f t="shared" si="8"/>
        <v>3.3599999999999998E-2</v>
      </c>
      <c r="CA10" s="13"/>
      <c r="CB10" s="14"/>
      <c r="CC10" s="13"/>
      <c r="CE10" s="13">
        <v>15</v>
      </c>
      <c r="CF10" s="13">
        <v>15</v>
      </c>
      <c r="CG10" s="13">
        <v>400</v>
      </c>
      <c r="CH10" s="13">
        <v>4</v>
      </c>
      <c r="CI10" s="14">
        <f t="shared" si="9"/>
        <v>0.36</v>
      </c>
      <c r="CJ10" s="13"/>
      <c r="CK10" s="14"/>
      <c r="CL10" s="13"/>
      <c r="CN10" s="13">
        <v>10</v>
      </c>
      <c r="CO10" s="13">
        <v>30</v>
      </c>
      <c r="CP10" s="13">
        <v>400</v>
      </c>
      <c r="CQ10" s="13">
        <v>2</v>
      </c>
      <c r="CR10" s="14">
        <f t="shared" si="10"/>
        <v>0.24</v>
      </c>
      <c r="CS10" s="13"/>
      <c r="CT10" s="14"/>
      <c r="CU10" s="13"/>
      <c r="CW10" s="13">
        <v>10</v>
      </c>
      <c r="CX10" s="13">
        <v>25</v>
      </c>
      <c r="CY10" s="13">
        <v>400</v>
      </c>
      <c r="CZ10" s="13">
        <v>11</v>
      </c>
      <c r="DA10" s="14">
        <f t="shared" si="11"/>
        <v>1.1000000000000001</v>
      </c>
      <c r="DB10" s="13"/>
      <c r="DC10" s="14"/>
      <c r="DD10" s="13"/>
      <c r="DF10" s="13">
        <v>4.5</v>
      </c>
      <c r="DG10" s="13">
        <v>15</v>
      </c>
      <c r="DH10" s="13">
        <v>400</v>
      </c>
      <c r="DI10" s="13">
        <v>36</v>
      </c>
      <c r="DJ10" s="14">
        <f t="shared" si="12"/>
        <v>0.97199999999999998</v>
      </c>
      <c r="DK10" s="13"/>
      <c r="DL10" s="14"/>
      <c r="DM10" s="13"/>
    </row>
    <row r="11" spans="2:117" ht="15.75" x14ac:dyDescent="0.25">
      <c r="B11" s="13">
        <v>12</v>
      </c>
      <c r="C11" s="13">
        <v>15</v>
      </c>
      <c r="D11" s="13">
        <v>400</v>
      </c>
      <c r="E11" s="13">
        <v>2</v>
      </c>
      <c r="F11" s="14">
        <f t="shared" si="0"/>
        <v>0.14399999999999999</v>
      </c>
      <c r="G11" s="13">
        <f>SUM(E11)</f>
        <v>2</v>
      </c>
      <c r="H11" s="14">
        <f>SUM(F11)</f>
        <v>0.14399999999999999</v>
      </c>
      <c r="I11" s="13"/>
      <c r="K11" s="13">
        <v>15</v>
      </c>
      <c r="L11" s="13">
        <v>25</v>
      </c>
      <c r="M11" s="13">
        <v>400</v>
      </c>
      <c r="N11" s="13">
        <v>4</v>
      </c>
      <c r="O11" s="14">
        <f t="shared" si="1"/>
        <v>0.6</v>
      </c>
      <c r="P11" s="13"/>
      <c r="Q11" s="14"/>
      <c r="R11" s="13"/>
      <c r="T11" s="13">
        <v>15</v>
      </c>
      <c r="U11" s="13">
        <v>15</v>
      </c>
      <c r="V11" s="13">
        <v>400</v>
      </c>
      <c r="W11" s="13">
        <v>4</v>
      </c>
      <c r="X11" s="14">
        <f t="shared" si="2"/>
        <v>0.36</v>
      </c>
      <c r="Y11" s="13">
        <f>SUM(W8:W11)</f>
        <v>8</v>
      </c>
      <c r="Z11" s="14">
        <f>SUM(X8:X11)</f>
        <v>0.92999999999999994</v>
      </c>
      <c r="AA11" s="13"/>
      <c r="AC11" s="13">
        <v>15</v>
      </c>
      <c r="AD11" s="13">
        <v>23</v>
      </c>
      <c r="AE11" s="13">
        <v>400</v>
      </c>
      <c r="AF11" s="13">
        <v>1</v>
      </c>
      <c r="AG11" s="14">
        <f t="shared" si="3"/>
        <v>0.13800000000000001</v>
      </c>
      <c r="AH11" s="13">
        <f>SUM(AF8:AF11)</f>
        <v>6</v>
      </c>
      <c r="AI11" s="14">
        <f>SUM(AG8:AG11)</f>
        <v>1.0020000000000002</v>
      </c>
      <c r="AJ11" s="13"/>
      <c r="AL11" s="122">
        <v>2</v>
      </c>
      <c r="AM11" s="122">
        <v>3</v>
      </c>
      <c r="AN11" s="122">
        <v>400</v>
      </c>
      <c r="AO11" s="122">
        <v>1575</v>
      </c>
      <c r="AP11" s="123">
        <f t="shared" si="4"/>
        <v>3.78</v>
      </c>
      <c r="AQ11" s="122"/>
      <c r="AR11" s="123"/>
      <c r="AS11" s="122"/>
      <c r="AU11" s="13">
        <v>15</v>
      </c>
      <c r="AV11" s="13">
        <v>17</v>
      </c>
      <c r="AW11" s="13">
        <v>400</v>
      </c>
      <c r="AX11" s="13">
        <v>3</v>
      </c>
      <c r="AY11" s="14">
        <f t="shared" si="5"/>
        <v>0.30599999999999999</v>
      </c>
      <c r="AZ11" s="13"/>
      <c r="BA11" s="14"/>
      <c r="BB11" s="13"/>
      <c r="BD11" s="13">
        <v>8</v>
      </c>
      <c r="BE11" s="13">
        <v>15</v>
      </c>
      <c r="BF11" s="13">
        <v>500</v>
      </c>
      <c r="BG11" s="13">
        <v>1</v>
      </c>
      <c r="BH11" s="14">
        <f t="shared" si="6"/>
        <v>0.06</v>
      </c>
      <c r="BI11" s="13"/>
      <c r="BJ11" s="14"/>
      <c r="BK11" s="13"/>
      <c r="BM11" s="13">
        <v>4.5</v>
      </c>
      <c r="BN11" s="13">
        <v>25</v>
      </c>
      <c r="BO11" s="13">
        <v>400</v>
      </c>
      <c r="BP11" s="13">
        <v>3</v>
      </c>
      <c r="BQ11" s="14">
        <f t="shared" si="7"/>
        <v>0.13500000000000001</v>
      </c>
      <c r="BR11" s="13"/>
      <c r="BS11" s="14"/>
      <c r="BT11" s="13"/>
      <c r="BV11" s="13">
        <v>12</v>
      </c>
      <c r="BW11" s="13">
        <v>15</v>
      </c>
      <c r="BX11" s="13">
        <v>400</v>
      </c>
      <c r="BY11" s="13">
        <v>3</v>
      </c>
      <c r="BZ11" s="14">
        <f t="shared" si="8"/>
        <v>0.216</v>
      </c>
      <c r="CA11" s="13"/>
      <c r="CB11" s="14"/>
      <c r="CC11" s="13"/>
      <c r="CE11" s="13">
        <v>4</v>
      </c>
      <c r="CF11" s="13">
        <v>25</v>
      </c>
      <c r="CG11" s="13">
        <v>400</v>
      </c>
      <c r="CH11" s="13">
        <v>1</v>
      </c>
      <c r="CI11" s="14">
        <f t="shared" si="9"/>
        <v>0.04</v>
      </c>
      <c r="CJ11" s="13"/>
      <c r="CK11" s="14"/>
      <c r="CL11" s="13"/>
      <c r="CN11" s="13">
        <v>15</v>
      </c>
      <c r="CO11" s="13">
        <v>25</v>
      </c>
      <c r="CP11" s="13">
        <v>400</v>
      </c>
      <c r="CQ11" s="13">
        <v>1</v>
      </c>
      <c r="CR11" s="14">
        <f t="shared" si="10"/>
        <v>0.15</v>
      </c>
      <c r="CS11" s="13"/>
      <c r="CT11" s="14"/>
      <c r="CU11" s="13"/>
      <c r="CW11" s="13">
        <v>13</v>
      </c>
      <c r="CX11" s="13">
        <v>20</v>
      </c>
      <c r="CY11" s="13">
        <v>400</v>
      </c>
      <c r="CZ11" s="13">
        <v>3</v>
      </c>
      <c r="DA11" s="14">
        <f t="shared" si="11"/>
        <v>0.312</v>
      </c>
      <c r="DB11" s="13"/>
      <c r="DC11" s="14"/>
      <c r="DD11" s="13"/>
      <c r="DF11" s="13">
        <v>2.2000000000000002</v>
      </c>
      <c r="DG11" s="13">
        <v>15</v>
      </c>
      <c r="DH11" s="13">
        <v>400</v>
      </c>
      <c r="DI11" s="13">
        <v>12</v>
      </c>
      <c r="DJ11" s="14">
        <f t="shared" si="12"/>
        <v>0.15840000000000001</v>
      </c>
      <c r="DK11" s="13"/>
      <c r="DL11" s="14"/>
      <c r="DM11" s="13"/>
    </row>
    <row r="12" spans="2:117" ht="15.75" x14ac:dyDescent="0.25">
      <c r="B12" s="13">
        <v>10</v>
      </c>
      <c r="C12" s="13">
        <v>25</v>
      </c>
      <c r="D12" s="13">
        <v>400</v>
      </c>
      <c r="E12" s="13">
        <v>10</v>
      </c>
      <c r="F12" s="14">
        <f t="shared" si="0"/>
        <v>1</v>
      </c>
      <c r="G12" s="13"/>
      <c r="H12" s="14"/>
      <c r="I12" s="13"/>
      <c r="K12" s="13">
        <v>15</v>
      </c>
      <c r="L12" s="13">
        <v>23</v>
      </c>
      <c r="M12" s="13">
        <v>400</v>
      </c>
      <c r="N12" s="13">
        <v>1</v>
      </c>
      <c r="O12" s="14">
        <f t="shared" si="1"/>
        <v>0.13800000000000001</v>
      </c>
      <c r="P12" s="13">
        <f>SUM(N8:N12)</f>
        <v>14</v>
      </c>
      <c r="Q12" s="14">
        <f>SUM(O8:O12)</f>
        <v>2.3759999999999999</v>
      </c>
      <c r="R12" s="13"/>
      <c r="T12" s="13">
        <v>13</v>
      </c>
      <c r="U12" s="13">
        <v>25</v>
      </c>
      <c r="V12" s="13">
        <v>400</v>
      </c>
      <c r="W12" s="13">
        <v>5</v>
      </c>
      <c r="X12" s="14">
        <f t="shared" si="2"/>
        <v>0.65</v>
      </c>
      <c r="Y12" s="13"/>
      <c r="Z12" s="14"/>
      <c r="AA12" s="13"/>
      <c r="AC12" s="13">
        <v>13</v>
      </c>
      <c r="AD12" s="13">
        <v>33</v>
      </c>
      <c r="AE12" s="13">
        <v>400</v>
      </c>
      <c r="AF12" s="13">
        <v>3</v>
      </c>
      <c r="AG12" s="14">
        <f t="shared" si="3"/>
        <v>0.51480000000000004</v>
      </c>
      <c r="AH12" s="13"/>
      <c r="AI12" s="14"/>
      <c r="AJ12" s="13"/>
      <c r="AL12" s="122">
        <v>3</v>
      </c>
      <c r="AM12" s="122">
        <v>5</v>
      </c>
      <c r="AN12" s="122">
        <v>300</v>
      </c>
      <c r="AO12" s="122">
        <v>150</v>
      </c>
      <c r="AP12" s="123">
        <f t="shared" si="4"/>
        <v>0.67500000000000004</v>
      </c>
      <c r="AQ12" s="122"/>
      <c r="AR12" s="123"/>
      <c r="AS12" s="122"/>
      <c r="AU12" s="13">
        <v>10</v>
      </c>
      <c r="AV12" s="13">
        <v>30</v>
      </c>
      <c r="AW12" s="13">
        <v>400</v>
      </c>
      <c r="AX12" s="13">
        <v>1</v>
      </c>
      <c r="AY12" s="14">
        <f t="shared" si="5"/>
        <v>0.12</v>
      </c>
      <c r="AZ12" s="13"/>
      <c r="BA12" s="14"/>
      <c r="BB12" s="13"/>
      <c r="BD12" s="13">
        <v>10</v>
      </c>
      <c r="BE12" s="13">
        <v>12</v>
      </c>
      <c r="BF12" s="13">
        <v>500</v>
      </c>
      <c r="BG12" s="13">
        <v>2</v>
      </c>
      <c r="BH12" s="14">
        <f t="shared" si="6"/>
        <v>0.12</v>
      </c>
      <c r="BI12" s="13"/>
      <c r="BJ12" s="14"/>
      <c r="BK12" s="13"/>
      <c r="BM12" s="13">
        <v>10</v>
      </c>
      <c r="BN12" s="13">
        <v>20</v>
      </c>
      <c r="BO12" s="13">
        <v>400</v>
      </c>
      <c r="BP12" s="13">
        <v>9</v>
      </c>
      <c r="BQ12" s="14">
        <f t="shared" si="7"/>
        <v>0.72</v>
      </c>
      <c r="BR12" s="13"/>
      <c r="BS12" s="14"/>
      <c r="BT12" s="13"/>
      <c r="BV12" s="13">
        <v>10</v>
      </c>
      <c r="BW12" s="13">
        <v>12</v>
      </c>
      <c r="BX12" s="13">
        <v>400</v>
      </c>
      <c r="BY12" s="13">
        <v>1</v>
      </c>
      <c r="BZ12" s="14">
        <f t="shared" si="8"/>
        <v>4.8000000000000001E-2</v>
      </c>
      <c r="CA12" s="13"/>
      <c r="CB12" s="14"/>
      <c r="CC12" s="13"/>
      <c r="CE12" s="13">
        <v>12</v>
      </c>
      <c r="CF12" s="13">
        <v>25</v>
      </c>
      <c r="CG12" s="13">
        <v>400</v>
      </c>
      <c r="CH12" s="13">
        <v>2</v>
      </c>
      <c r="CI12" s="14">
        <f t="shared" si="9"/>
        <v>0.24</v>
      </c>
      <c r="CJ12" s="13"/>
      <c r="CK12" s="14"/>
      <c r="CL12" s="13"/>
      <c r="CN12" s="13">
        <v>3.5</v>
      </c>
      <c r="CO12" s="13">
        <v>20</v>
      </c>
      <c r="CP12" s="13">
        <v>400</v>
      </c>
      <c r="CQ12" s="13">
        <v>1</v>
      </c>
      <c r="CR12" s="14">
        <f t="shared" si="10"/>
        <v>2.8000000000000001E-2</v>
      </c>
      <c r="CS12" s="13"/>
      <c r="CT12" s="14"/>
      <c r="CU12" s="13"/>
      <c r="CW12" s="13">
        <v>10</v>
      </c>
      <c r="CX12" s="13">
        <v>20</v>
      </c>
      <c r="CY12" s="13">
        <v>400</v>
      </c>
      <c r="CZ12" s="13">
        <v>13</v>
      </c>
      <c r="DA12" s="14">
        <f t="shared" si="11"/>
        <v>1.04</v>
      </c>
      <c r="DB12" s="13"/>
      <c r="DC12" s="14"/>
      <c r="DD12" s="13"/>
      <c r="DF12" s="13">
        <v>10</v>
      </c>
      <c r="DG12" s="13">
        <v>20</v>
      </c>
      <c r="DH12" s="13">
        <v>400</v>
      </c>
      <c r="DI12" s="13">
        <v>3</v>
      </c>
      <c r="DJ12" s="14">
        <f t="shared" si="12"/>
        <v>0.24</v>
      </c>
      <c r="DK12" s="13"/>
      <c r="DL12" s="14"/>
      <c r="DM12" s="13"/>
    </row>
    <row r="13" spans="2:117" ht="15.75" x14ac:dyDescent="0.25">
      <c r="B13" s="13">
        <v>10</v>
      </c>
      <c r="C13" s="13">
        <v>20</v>
      </c>
      <c r="D13" s="13">
        <v>400</v>
      </c>
      <c r="E13" s="13">
        <v>14</v>
      </c>
      <c r="F13" s="14">
        <f t="shared" si="0"/>
        <v>1.1200000000000001</v>
      </c>
      <c r="G13" s="13"/>
      <c r="H13" s="14"/>
      <c r="I13" s="13"/>
      <c r="K13" s="13">
        <v>13</v>
      </c>
      <c r="L13" s="13">
        <v>30</v>
      </c>
      <c r="M13" s="13">
        <v>400</v>
      </c>
      <c r="N13" s="13">
        <v>2</v>
      </c>
      <c r="O13" s="14">
        <f t="shared" si="1"/>
        <v>0.312</v>
      </c>
      <c r="P13" s="13"/>
      <c r="Q13" s="14"/>
      <c r="R13" s="13"/>
      <c r="T13" s="13">
        <v>13</v>
      </c>
      <c r="U13" s="13">
        <v>20</v>
      </c>
      <c r="V13" s="13">
        <v>400</v>
      </c>
      <c r="W13" s="13">
        <v>4</v>
      </c>
      <c r="X13" s="14">
        <f t="shared" si="2"/>
        <v>0.41599999999999998</v>
      </c>
      <c r="Y13" s="13"/>
      <c r="Z13" s="14"/>
      <c r="AA13" s="13"/>
      <c r="AC13" s="13">
        <v>13</v>
      </c>
      <c r="AD13" s="13">
        <v>25</v>
      </c>
      <c r="AE13" s="13">
        <v>400</v>
      </c>
      <c r="AF13" s="13">
        <v>4</v>
      </c>
      <c r="AG13" s="14">
        <f t="shared" si="3"/>
        <v>0.52</v>
      </c>
      <c r="AH13" s="13"/>
      <c r="AI13" s="14"/>
      <c r="AJ13" s="13"/>
      <c r="AL13" s="122">
        <v>2</v>
      </c>
      <c r="AM13" s="122">
        <v>3</v>
      </c>
      <c r="AN13" s="122">
        <v>300</v>
      </c>
      <c r="AO13" s="122">
        <v>75</v>
      </c>
      <c r="AP13" s="123">
        <f t="shared" si="4"/>
        <v>0.13500000000000001</v>
      </c>
      <c r="AQ13" s="122">
        <f>SUM(AO8:AO13)</f>
        <v>2424</v>
      </c>
      <c r="AR13" s="123">
        <f>SUM(AP8:AP13)</f>
        <v>11.0404</v>
      </c>
      <c r="AS13" s="122"/>
      <c r="AU13" s="13">
        <v>15</v>
      </c>
      <c r="AV13" s="13">
        <v>30</v>
      </c>
      <c r="AW13" s="13">
        <v>400</v>
      </c>
      <c r="AX13" s="13">
        <v>1</v>
      </c>
      <c r="AY13" s="14">
        <f t="shared" si="5"/>
        <v>0.18</v>
      </c>
      <c r="AZ13" s="13"/>
      <c r="BA13" s="14"/>
      <c r="BB13" s="13"/>
      <c r="BD13" s="13">
        <v>10</v>
      </c>
      <c r="BE13" s="13">
        <v>10</v>
      </c>
      <c r="BF13" s="13">
        <v>500</v>
      </c>
      <c r="BG13" s="13">
        <v>1</v>
      </c>
      <c r="BH13" s="14">
        <f t="shared" si="6"/>
        <v>0.05</v>
      </c>
      <c r="BI13" s="13"/>
      <c r="BJ13" s="14"/>
      <c r="BK13" s="41"/>
      <c r="BM13" s="13">
        <v>7</v>
      </c>
      <c r="BN13" s="13">
        <v>20</v>
      </c>
      <c r="BO13" s="13">
        <v>400</v>
      </c>
      <c r="BP13" s="13">
        <v>6</v>
      </c>
      <c r="BQ13" s="14">
        <f t="shared" si="7"/>
        <v>0.33600000000000002</v>
      </c>
      <c r="BR13" s="13"/>
      <c r="BS13" s="14"/>
      <c r="BT13" s="41"/>
      <c r="BV13" s="13">
        <v>4</v>
      </c>
      <c r="BW13" s="13">
        <v>10</v>
      </c>
      <c r="BX13" s="13">
        <v>400</v>
      </c>
      <c r="BY13" s="13">
        <v>1</v>
      </c>
      <c r="BZ13" s="14">
        <f t="shared" si="8"/>
        <v>1.6E-2</v>
      </c>
      <c r="CA13" s="13"/>
      <c r="CB13" s="14"/>
      <c r="CC13" s="41"/>
      <c r="CE13" s="13">
        <v>10</v>
      </c>
      <c r="CF13" s="13">
        <v>20</v>
      </c>
      <c r="CG13" s="13">
        <v>400</v>
      </c>
      <c r="CH13" s="13">
        <v>2</v>
      </c>
      <c r="CI13" s="14">
        <f t="shared" si="9"/>
        <v>0.16</v>
      </c>
      <c r="CJ13" s="13"/>
      <c r="CK13" s="14"/>
      <c r="CL13" s="41"/>
      <c r="CN13" s="13">
        <v>13</v>
      </c>
      <c r="CO13" s="13">
        <v>30</v>
      </c>
      <c r="CP13" s="13">
        <v>400</v>
      </c>
      <c r="CQ13" s="13">
        <v>3</v>
      </c>
      <c r="CR13" s="14">
        <f t="shared" si="10"/>
        <v>0.46800000000000003</v>
      </c>
      <c r="CS13" s="13"/>
      <c r="CT13" s="14"/>
      <c r="CU13" s="41"/>
      <c r="CW13" s="13">
        <v>4.5</v>
      </c>
      <c r="CX13" s="13">
        <v>20</v>
      </c>
      <c r="CY13" s="13">
        <v>400</v>
      </c>
      <c r="CZ13" s="13">
        <v>8</v>
      </c>
      <c r="DA13" s="14">
        <f t="shared" si="11"/>
        <v>0.28799999999999998</v>
      </c>
      <c r="DB13" s="13"/>
      <c r="DC13" s="14"/>
      <c r="DD13" s="41"/>
      <c r="DF13" s="13">
        <v>4.5</v>
      </c>
      <c r="DG13" s="13">
        <v>20</v>
      </c>
      <c r="DH13" s="13">
        <v>400</v>
      </c>
      <c r="DI13" s="13">
        <v>8</v>
      </c>
      <c r="DJ13" s="14">
        <f t="shared" si="12"/>
        <v>0.28799999999999998</v>
      </c>
      <c r="DK13" s="13"/>
      <c r="DL13" s="14"/>
      <c r="DM13" s="41"/>
    </row>
    <row r="14" spans="2:117" ht="16.5" thickBot="1" x14ac:dyDescent="0.3">
      <c r="B14" s="13">
        <v>10</v>
      </c>
      <c r="C14" s="13">
        <v>15</v>
      </c>
      <c r="D14" s="13">
        <v>400</v>
      </c>
      <c r="E14" s="13">
        <v>5</v>
      </c>
      <c r="F14" s="14">
        <f t="shared" si="0"/>
        <v>0.3</v>
      </c>
      <c r="G14" s="13">
        <f>SUM(E12:E14)</f>
        <v>29</v>
      </c>
      <c r="H14" s="14">
        <f>SUM(F12:F14)</f>
        <v>2.42</v>
      </c>
      <c r="I14" s="13"/>
      <c r="K14" s="13">
        <v>13</v>
      </c>
      <c r="L14" s="13">
        <v>28</v>
      </c>
      <c r="M14" s="13">
        <v>400</v>
      </c>
      <c r="N14" s="13">
        <v>1</v>
      </c>
      <c r="O14" s="14">
        <f t="shared" si="1"/>
        <v>0.14560000000000001</v>
      </c>
      <c r="P14" s="13"/>
      <c r="Q14" s="14"/>
      <c r="R14" s="13"/>
      <c r="T14" s="13">
        <v>13</v>
      </c>
      <c r="U14" s="13">
        <v>18</v>
      </c>
      <c r="V14" s="13">
        <v>400</v>
      </c>
      <c r="W14" s="13">
        <v>2</v>
      </c>
      <c r="X14" s="14">
        <f t="shared" si="2"/>
        <v>0.18720000000000001</v>
      </c>
      <c r="Y14" s="13"/>
      <c r="Z14" s="14"/>
      <c r="AA14" s="13"/>
      <c r="AC14" s="13">
        <v>13</v>
      </c>
      <c r="AD14" s="13">
        <v>23</v>
      </c>
      <c r="AE14" s="13">
        <v>400</v>
      </c>
      <c r="AF14" s="13">
        <v>2</v>
      </c>
      <c r="AG14" s="14">
        <f t="shared" si="3"/>
        <v>0.2392</v>
      </c>
      <c r="AH14" s="13"/>
      <c r="AI14" s="14"/>
      <c r="AJ14" s="13"/>
      <c r="AL14" s="237" t="s">
        <v>150</v>
      </c>
      <c r="AM14" s="237"/>
      <c r="AN14" s="238"/>
      <c r="AO14" s="17">
        <f>SUM(AO8:AO13)</f>
        <v>2424</v>
      </c>
      <c r="AP14" s="32">
        <f>SUM(AP8:AP13)</f>
        <v>11.0404</v>
      </c>
      <c r="AQ14" s="17">
        <f>SUM(AQ8:AQ13)</f>
        <v>2424</v>
      </c>
      <c r="AR14" s="32">
        <f>SUM(AR8:AR13)</f>
        <v>11.0404</v>
      </c>
      <c r="AS14" s="17"/>
      <c r="AU14" s="13">
        <v>2</v>
      </c>
      <c r="AV14" s="13">
        <v>30</v>
      </c>
      <c r="AW14" s="13">
        <v>400</v>
      </c>
      <c r="AX14" s="13">
        <v>1</v>
      </c>
      <c r="AY14" s="14">
        <f t="shared" si="5"/>
        <v>2.4E-2</v>
      </c>
      <c r="AZ14" s="13"/>
      <c r="BA14" s="14"/>
      <c r="BB14" s="13"/>
      <c r="BD14" s="13">
        <v>5</v>
      </c>
      <c r="BE14" s="13">
        <v>10</v>
      </c>
      <c r="BF14" s="13">
        <v>500</v>
      </c>
      <c r="BG14" s="13">
        <v>4</v>
      </c>
      <c r="BH14" s="14">
        <f t="shared" si="6"/>
        <v>0.1</v>
      </c>
      <c r="BI14" s="13"/>
      <c r="BJ14" s="14"/>
      <c r="BK14" s="13"/>
      <c r="BM14" s="13">
        <v>4.5</v>
      </c>
      <c r="BN14" s="13">
        <v>20</v>
      </c>
      <c r="BO14" s="13">
        <v>400</v>
      </c>
      <c r="BP14" s="13">
        <v>1</v>
      </c>
      <c r="BQ14" s="14">
        <f t="shared" si="7"/>
        <v>3.5999999999999997E-2</v>
      </c>
      <c r="BR14" s="13"/>
      <c r="BS14" s="14"/>
      <c r="BT14" s="13"/>
      <c r="BV14" s="13">
        <v>5</v>
      </c>
      <c r="BW14" s="13">
        <v>10</v>
      </c>
      <c r="BX14" s="13">
        <v>400</v>
      </c>
      <c r="BY14" s="13">
        <v>3</v>
      </c>
      <c r="BZ14" s="14">
        <f t="shared" si="8"/>
        <v>0.06</v>
      </c>
      <c r="CA14" s="13"/>
      <c r="CB14" s="14"/>
      <c r="CC14" s="13"/>
      <c r="CE14" s="13">
        <v>15</v>
      </c>
      <c r="CF14" s="13">
        <v>20</v>
      </c>
      <c r="CG14" s="13">
        <v>400</v>
      </c>
      <c r="CH14" s="13">
        <v>2</v>
      </c>
      <c r="CI14" s="14">
        <f t="shared" si="9"/>
        <v>0.24</v>
      </c>
      <c r="CJ14" s="13"/>
      <c r="CK14" s="14"/>
      <c r="CL14" s="41"/>
      <c r="CN14" s="13">
        <v>7</v>
      </c>
      <c r="CO14" s="13">
        <v>20</v>
      </c>
      <c r="CP14" s="13">
        <v>400</v>
      </c>
      <c r="CQ14" s="13">
        <v>6</v>
      </c>
      <c r="CR14" s="14">
        <f t="shared" si="10"/>
        <v>0.33600000000000002</v>
      </c>
      <c r="CS14" s="13"/>
      <c r="CT14" s="14"/>
      <c r="CU14" s="41"/>
      <c r="CW14" s="13">
        <v>3.5</v>
      </c>
      <c r="CX14" s="13">
        <v>20</v>
      </c>
      <c r="CY14" s="13">
        <v>400</v>
      </c>
      <c r="CZ14" s="13">
        <v>2</v>
      </c>
      <c r="DA14" s="14">
        <f t="shared" si="11"/>
        <v>5.6000000000000001E-2</v>
      </c>
      <c r="DB14" s="13"/>
      <c r="DC14" s="14"/>
      <c r="DD14" s="41"/>
      <c r="DF14" s="13">
        <v>7</v>
      </c>
      <c r="DG14" s="13">
        <v>20</v>
      </c>
      <c r="DH14" s="13">
        <v>400</v>
      </c>
      <c r="DI14" s="13">
        <v>4</v>
      </c>
      <c r="DJ14" s="14">
        <f t="shared" si="12"/>
        <v>0.224</v>
      </c>
      <c r="DK14" s="13"/>
      <c r="DL14" s="14"/>
      <c r="DM14" s="41"/>
    </row>
    <row r="15" spans="2:117" ht="16.5" thickTop="1" x14ac:dyDescent="0.25">
      <c r="B15" s="13">
        <v>8</v>
      </c>
      <c r="C15" s="13">
        <v>25</v>
      </c>
      <c r="D15" s="13">
        <v>400</v>
      </c>
      <c r="E15" s="13">
        <v>5</v>
      </c>
      <c r="F15" s="14">
        <f t="shared" si="0"/>
        <v>0.4</v>
      </c>
      <c r="G15" s="13"/>
      <c r="H15" s="14"/>
      <c r="I15" s="13"/>
      <c r="K15" s="13">
        <v>13</v>
      </c>
      <c r="L15" s="13">
        <v>25</v>
      </c>
      <c r="M15" s="13">
        <v>400</v>
      </c>
      <c r="N15" s="13">
        <v>1</v>
      </c>
      <c r="O15" s="14">
        <f t="shared" si="1"/>
        <v>0.13</v>
      </c>
      <c r="P15" s="13"/>
      <c r="Q15" s="14"/>
      <c r="R15" s="13"/>
      <c r="T15" s="13">
        <v>13</v>
      </c>
      <c r="U15" s="13">
        <v>15</v>
      </c>
      <c r="V15" s="13">
        <v>400</v>
      </c>
      <c r="W15" s="13">
        <v>3</v>
      </c>
      <c r="X15" s="14">
        <f t="shared" si="2"/>
        <v>0.23400000000000001</v>
      </c>
      <c r="Y15" s="13"/>
      <c r="Z15" s="14"/>
      <c r="AA15" s="13"/>
      <c r="AC15" s="13">
        <v>13</v>
      </c>
      <c r="AD15" s="13">
        <v>15</v>
      </c>
      <c r="AE15" s="13">
        <v>400</v>
      </c>
      <c r="AF15" s="13">
        <v>2</v>
      </c>
      <c r="AG15" s="14">
        <f t="shared" si="3"/>
        <v>0.156</v>
      </c>
      <c r="AH15" s="13">
        <f>SUM(AF12:AF15)</f>
        <v>11</v>
      </c>
      <c r="AI15" s="14">
        <f>SUM(AG12:AG15)</f>
        <v>1.4300000000000002</v>
      </c>
      <c r="AJ15" s="13"/>
      <c r="AU15" s="13">
        <v>2</v>
      </c>
      <c r="AV15" s="13">
        <v>22</v>
      </c>
      <c r="AW15" s="13">
        <v>400</v>
      </c>
      <c r="AX15" s="13">
        <v>1</v>
      </c>
      <c r="AY15" s="14">
        <f t="shared" si="5"/>
        <v>1.7600000000000001E-2</v>
      </c>
      <c r="AZ15" s="13"/>
      <c r="BA15" s="14"/>
      <c r="BB15" s="13"/>
      <c r="BD15" s="13">
        <v>2</v>
      </c>
      <c r="BE15" s="13">
        <v>10</v>
      </c>
      <c r="BF15" s="13">
        <v>500</v>
      </c>
      <c r="BG15" s="13">
        <v>3</v>
      </c>
      <c r="BH15" s="14">
        <f t="shared" si="6"/>
        <v>0.03</v>
      </c>
      <c r="BI15" s="13"/>
      <c r="BJ15" s="14"/>
      <c r="BK15" s="13"/>
      <c r="BM15" s="13">
        <v>13</v>
      </c>
      <c r="BN15" s="13">
        <v>15</v>
      </c>
      <c r="BO15" s="13">
        <v>400</v>
      </c>
      <c r="BP15" s="13">
        <v>3</v>
      </c>
      <c r="BQ15" s="14">
        <f t="shared" si="7"/>
        <v>0.23400000000000001</v>
      </c>
      <c r="BR15" s="13"/>
      <c r="BS15" s="14"/>
      <c r="BT15" s="13"/>
      <c r="BV15" s="13">
        <v>6</v>
      </c>
      <c r="BW15" s="13">
        <v>10</v>
      </c>
      <c r="BX15" s="13">
        <v>400</v>
      </c>
      <c r="BY15" s="13">
        <v>1</v>
      </c>
      <c r="BZ15" s="14">
        <f t="shared" si="8"/>
        <v>2.4E-2</v>
      </c>
      <c r="CA15" s="13"/>
      <c r="CB15" s="14"/>
      <c r="CC15" s="13"/>
      <c r="CE15" s="13">
        <v>8</v>
      </c>
      <c r="CF15" s="13">
        <v>25</v>
      </c>
      <c r="CG15" s="13">
        <v>400</v>
      </c>
      <c r="CH15" s="13">
        <v>1</v>
      </c>
      <c r="CI15" s="14">
        <f t="shared" si="9"/>
        <v>0.08</v>
      </c>
      <c r="CJ15" s="13"/>
      <c r="CK15" s="14"/>
      <c r="CL15" s="41"/>
      <c r="CN15" s="13">
        <v>13</v>
      </c>
      <c r="CO15" s="13">
        <v>33</v>
      </c>
      <c r="CP15" s="13">
        <v>400</v>
      </c>
      <c r="CQ15" s="13">
        <v>3</v>
      </c>
      <c r="CR15" s="14">
        <f t="shared" si="10"/>
        <v>0.51480000000000004</v>
      </c>
      <c r="CS15" s="13"/>
      <c r="CT15" s="14"/>
      <c r="CU15" s="41"/>
      <c r="CW15" s="13">
        <v>2.2000000000000002</v>
      </c>
      <c r="CX15" s="13">
        <v>20</v>
      </c>
      <c r="CY15" s="13">
        <v>400</v>
      </c>
      <c r="CZ15" s="13">
        <v>4</v>
      </c>
      <c r="DA15" s="14">
        <f t="shared" si="11"/>
        <v>7.0400000000000004E-2</v>
      </c>
      <c r="DB15" s="13"/>
      <c r="DC15" s="14"/>
      <c r="DD15" s="41"/>
      <c r="DF15" s="13">
        <v>4.5</v>
      </c>
      <c r="DG15" s="13">
        <v>13</v>
      </c>
      <c r="DH15" s="13">
        <v>400</v>
      </c>
      <c r="DI15" s="13">
        <v>12</v>
      </c>
      <c r="DJ15" s="14">
        <f t="shared" si="12"/>
        <v>0.28079999999999999</v>
      </c>
      <c r="DK15" s="13"/>
      <c r="DL15" s="14"/>
      <c r="DM15" s="41"/>
    </row>
    <row r="16" spans="2:117" ht="15.75" x14ac:dyDescent="0.25">
      <c r="B16" s="13">
        <v>8</v>
      </c>
      <c r="C16" s="13">
        <v>23</v>
      </c>
      <c r="D16" s="13">
        <v>400</v>
      </c>
      <c r="E16" s="13">
        <v>1</v>
      </c>
      <c r="F16" s="14">
        <f t="shared" si="0"/>
        <v>7.3599999999999999E-2</v>
      </c>
      <c r="G16" s="13"/>
      <c r="H16" s="14"/>
      <c r="I16" s="13"/>
      <c r="K16" s="13">
        <v>13</v>
      </c>
      <c r="L16" s="13">
        <v>20</v>
      </c>
      <c r="M16" s="13">
        <v>400</v>
      </c>
      <c r="N16" s="13">
        <v>3</v>
      </c>
      <c r="O16" s="14">
        <f t="shared" si="1"/>
        <v>0.312</v>
      </c>
      <c r="P16" s="13">
        <f>SUM(N13:N16)</f>
        <v>7</v>
      </c>
      <c r="Q16" s="14">
        <f>SUM(O13:O16)</f>
        <v>0.89959999999999996</v>
      </c>
      <c r="R16" s="13"/>
      <c r="T16" s="13">
        <v>13</v>
      </c>
      <c r="U16" s="13">
        <v>13</v>
      </c>
      <c r="V16" s="13">
        <v>400</v>
      </c>
      <c r="W16" s="13">
        <v>1</v>
      </c>
      <c r="X16" s="14">
        <f t="shared" si="2"/>
        <v>6.7599999999999993E-2</v>
      </c>
      <c r="Y16" s="13">
        <f>SUM(W12:W16)</f>
        <v>15</v>
      </c>
      <c r="Z16" s="14">
        <f>SUM(X12:X16)</f>
        <v>1.5548000000000002</v>
      </c>
      <c r="AA16" s="13"/>
      <c r="AC16" s="13">
        <v>10</v>
      </c>
      <c r="AD16" s="13">
        <v>33</v>
      </c>
      <c r="AE16" s="13">
        <v>400</v>
      </c>
      <c r="AF16" s="13">
        <v>1</v>
      </c>
      <c r="AG16" s="14">
        <f t="shared" si="3"/>
        <v>0.13200000000000001</v>
      </c>
      <c r="AH16" s="13"/>
      <c r="AI16" s="14"/>
      <c r="AJ16" s="13"/>
      <c r="AL16" s="231" t="s">
        <v>19</v>
      </c>
      <c r="AM16" s="231"/>
      <c r="AN16" s="231"/>
      <c r="AO16" s="231"/>
      <c r="AP16" s="231"/>
      <c r="AQ16" s="231"/>
      <c r="AR16" s="231"/>
      <c r="AS16" s="231"/>
      <c r="AU16" s="13">
        <v>15</v>
      </c>
      <c r="AV16" s="13">
        <v>22</v>
      </c>
      <c r="AW16" s="13">
        <v>400</v>
      </c>
      <c r="AX16" s="13">
        <v>1</v>
      </c>
      <c r="AY16" s="14">
        <f t="shared" si="5"/>
        <v>0.13200000000000001</v>
      </c>
      <c r="AZ16" s="13"/>
      <c r="BA16" s="14"/>
      <c r="BB16" s="13"/>
      <c r="BD16" s="119">
        <v>5</v>
      </c>
      <c r="BE16" s="119">
        <v>7</v>
      </c>
      <c r="BF16" s="119">
        <v>500</v>
      </c>
      <c r="BG16" s="119">
        <v>4</v>
      </c>
      <c r="BH16" s="120">
        <f t="shared" si="6"/>
        <v>7.0000000000000007E-2</v>
      </c>
      <c r="BI16" s="119"/>
      <c r="BJ16" s="120"/>
      <c r="BK16" s="119"/>
      <c r="BM16" s="13">
        <v>15</v>
      </c>
      <c r="BN16" s="13">
        <v>15</v>
      </c>
      <c r="BO16" s="13">
        <v>400</v>
      </c>
      <c r="BP16" s="13">
        <v>2</v>
      </c>
      <c r="BQ16" s="14">
        <f t="shared" si="7"/>
        <v>0.18</v>
      </c>
      <c r="BR16" s="13"/>
      <c r="BS16" s="14"/>
      <c r="BT16" s="13"/>
      <c r="BV16" s="13">
        <v>6</v>
      </c>
      <c r="BW16" s="13">
        <v>12</v>
      </c>
      <c r="BX16" s="13">
        <v>400</v>
      </c>
      <c r="BY16" s="13">
        <v>1</v>
      </c>
      <c r="BZ16" s="14">
        <f t="shared" si="8"/>
        <v>2.8799999999999999E-2</v>
      </c>
      <c r="CA16" s="13"/>
      <c r="CB16" s="14"/>
      <c r="CC16" s="13"/>
      <c r="CE16" s="13">
        <v>4</v>
      </c>
      <c r="CF16" s="13">
        <v>20</v>
      </c>
      <c r="CG16" s="13">
        <v>400</v>
      </c>
      <c r="CH16" s="13">
        <v>1</v>
      </c>
      <c r="CI16" s="14">
        <f t="shared" si="9"/>
        <v>3.2000000000000001E-2</v>
      </c>
      <c r="CJ16" s="13"/>
      <c r="CK16" s="14"/>
      <c r="CL16" s="41"/>
      <c r="CN16" s="13">
        <v>15</v>
      </c>
      <c r="CO16" s="13">
        <v>33</v>
      </c>
      <c r="CP16" s="13">
        <v>400</v>
      </c>
      <c r="CQ16" s="13">
        <v>3</v>
      </c>
      <c r="CR16" s="14">
        <f t="shared" si="10"/>
        <v>0.59399999999999997</v>
      </c>
      <c r="CS16" s="13"/>
      <c r="CT16" s="14"/>
      <c r="CU16" s="41"/>
      <c r="CW16" s="13">
        <v>1.7</v>
      </c>
      <c r="CX16" s="13">
        <v>20</v>
      </c>
      <c r="CY16" s="13">
        <v>400</v>
      </c>
      <c r="CZ16" s="13">
        <v>1</v>
      </c>
      <c r="DA16" s="14">
        <f t="shared" si="11"/>
        <v>1.3599999999999999E-2</v>
      </c>
      <c r="DB16" s="13"/>
      <c r="DC16" s="14"/>
      <c r="DD16" s="41"/>
      <c r="DF16" s="13">
        <v>3.5</v>
      </c>
      <c r="DG16" s="13">
        <v>13</v>
      </c>
      <c r="DH16" s="13">
        <v>400</v>
      </c>
      <c r="DI16" s="13">
        <v>2</v>
      </c>
      <c r="DJ16" s="14">
        <f t="shared" si="12"/>
        <v>3.6400000000000002E-2</v>
      </c>
      <c r="DK16" s="13"/>
      <c r="DL16" s="14"/>
      <c r="DM16" s="41"/>
    </row>
    <row r="17" spans="2:117" ht="15.75" x14ac:dyDescent="0.25">
      <c r="B17" s="13">
        <v>8</v>
      </c>
      <c r="C17" s="13">
        <v>20</v>
      </c>
      <c r="D17" s="13">
        <v>400</v>
      </c>
      <c r="E17" s="13">
        <v>6</v>
      </c>
      <c r="F17" s="14">
        <f t="shared" si="0"/>
        <v>0.38400000000000001</v>
      </c>
      <c r="G17" s="13"/>
      <c r="H17" s="14"/>
      <c r="I17" s="13"/>
      <c r="K17" s="13">
        <v>10</v>
      </c>
      <c r="L17" s="13">
        <v>33</v>
      </c>
      <c r="M17" s="13">
        <v>400</v>
      </c>
      <c r="N17" s="13">
        <v>1</v>
      </c>
      <c r="O17" s="14">
        <f t="shared" si="1"/>
        <v>0.13200000000000001</v>
      </c>
      <c r="P17" s="13"/>
      <c r="Q17" s="14"/>
      <c r="R17" s="13"/>
      <c r="T17" s="13">
        <v>10</v>
      </c>
      <c r="U17" s="13">
        <v>30</v>
      </c>
      <c r="V17" s="13">
        <v>400</v>
      </c>
      <c r="W17" s="13">
        <v>3</v>
      </c>
      <c r="X17" s="14">
        <f t="shared" si="2"/>
        <v>0.36</v>
      </c>
      <c r="Y17" s="13"/>
      <c r="Z17" s="14"/>
      <c r="AA17" s="13"/>
      <c r="AC17" s="13">
        <v>10</v>
      </c>
      <c r="AD17" s="13">
        <v>30</v>
      </c>
      <c r="AE17" s="13">
        <v>400</v>
      </c>
      <c r="AF17" s="13">
        <v>3</v>
      </c>
      <c r="AG17" s="14">
        <f t="shared" si="3"/>
        <v>0.36</v>
      </c>
      <c r="AH17" s="13"/>
      <c r="AI17" s="14"/>
      <c r="AJ17" s="13"/>
      <c r="AL17" s="231"/>
      <c r="AM17" s="231"/>
      <c r="AN17" s="231"/>
      <c r="AO17" s="231"/>
      <c r="AP17" s="231"/>
      <c r="AQ17" s="231"/>
      <c r="AR17" s="231"/>
      <c r="AS17" s="231"/>
      <c r="AU17" s="13">
        <v>7</v>
      </c>
      <c r="AV17" s="13">
        <v>25</v>
      </c>
      <c r="AW17" s="13">
        <v>400</v>
      </c>
      <c r="AX17" s="13">
        <v>1</v>
      </c>
      <c r="AY17" s="14">
        <f t="shared" si="5"/>
        <v>7.0000000000000007E-2</v>
      </c>
      <c r="AZ17" s="13"/>
      <c r="BA17" s="14"/>
      <c r="BB17" s="13"/>
      <c r="BD17" s="119">
        <v>4</v>
      </c>
      <c r="BE17" s="119">
        <v>6</v>
      </c>
      <c r="BF17" s="119">
        <v>500</v>
      </c>
      <c r="BG17" s="119">
        <v>18</v>
      </c>
      <c r="BH17" s="120">
        <f t="shared" si="6"/>
        <v>0.216</v>
      </c>
      <c r="BI17" s="119">
        <f>SUM(BG8:BG17)</f>
        <v>38</v>
      </c>
      <c r="BJ17" s="120">
        <f>SUM(BH8:BH17)</f>
        <v>0.96849999999999992</v>
      </c>
      <c r="BK17" s="121"/>
      <c r="BM17" s="13">
        <v>10</v>
      </c>
      <c r="BN17" s="13">
        <v>15</v>
      </c>
      <c r="BO17" s="13">
        <v>400</v>
      </c>
      <c r="BP17" s="13">
        <v>5</v>
      </c>
      <c r="BQ17" s="14">
        <f t="shared" si="7"/>
        <v>0.3</v>
      </c>
      <c r="BR17" s="13"/>
      <c r="BS17" s="14"/>
      <c r="BT17" s="41"/>
      <c r="BV17" s="13">
        <v>2</v>
      </c>
      <c r="BW17" s="13">
        <v>15</v>
      </c>
      <c r="BX17" s="13">
        <v>400</v>
      </c>
      <c r="BY17" s="13">
        <v>1</v>
      </c>
      <c r="BZ17" s="14">
        <f t="shared" si="8"/>
        <v>1.2E-2</v>
      </c>
      <c r="CA17" s="13"/>
      <c r="CB17" s="14"/>
      <c r="CC17" s="41"/>
      <c r="CE17" s="13">
        <v>8</v>
      </c>
      <c r="CF17" s="13">
        <v>20</v>
      </c>
      <c r="CG17" s="13">
        <v>400</v>
      </c>
      <c r="CH17" s="13">
        <v>1</v>
      </c>
      <c r="CI17" s="14">
        <f t="shared" si="9"/>
        <v>6.4000000000000001E-2</v>
      </c>
      <c r="CJ17" s="13"/>
      <c r="CK17" s="14"/>
      <c r="CL17" s="41"/>
      <c r="CN17" s="13">
        <v>13</v>
      </c>
      <c r="CO17" s="13">
        <v>30</v>
      </c>
      <c r="CP17" s="13">
        <v>400</v>
      </c>
      <c r="CQ17" s="13">
        <v>1</v>
      </c>
      <c r="CR17" s="14">
        <f t="shared" si="10"/>
        <v>0.156</v>
      </c>
      <c r="CS17" s="13"/>
      <c r="CT17" s="14"/>
      <c r="CU17" s="41"/>
      <c r="CW17" s="13">
        <v>10</v>
      </c>
      <c r="CX17" s="13">
        <v>15</v>
      </c>
      <c r="CY17" s="13">
        <v>400</v>
      </c>
      <c r="CZ17" s="13">
        <v>3</v>
      </c>
      <c r="DA17" s="14">
        <f t="shared" si="11"/>
        <v>0.18</v>
      </c>
      <c r="DB17" s="13"/>
      <c r="DC17" s="14"/>
      <c r="DD17" s="41"/>
      <c r="DF17" s="13">
        <v>2.2000000000000002</v>
      </c>
      <c r="DG17" s="13">
        <v>13</v>
      </c>
      <c r="DH17" s="13">
        <v>400</v>
      </c>
      <c r="DI17" s="13">
        <v>4</v>
      </c>
      <c r="DJ17" s="14">
        <f t="shared" si="12"/>
        <v>4.5760000000000002E-2</v>
      </c>
      <c r="DK17" s="13"/>
      <c r="DL17" s="14"/>
      <c r="DM17" s="41"/>
    </row>
    <row r="18" spans="2:117" ht="15.75" x14ac:dyDescent="0.25">
      <c r="B18" s="13">
        <v>8</v>
      </c>
      <c r="C18" s="13">
        <v>15</v>
      </c>
      <c r="D18" s="13">
        <v>400</v>
      </c>
      <c r="E18" s="13">
        <v>2</v>
      </c>
      <c r="F18" s="14">
        <f t="shared" si="0"/>
        <v>9.6000000000000002E-2</v>
      </c>
      <c r="G18" s="13"/>
      <c r="H18" s="14"/>
      <c r="I18" s="13"/>
      <c r="K18" s="13">
        <v>10</v>
      </c>
      <c r="L18" s="13">
        <v>28</v>
      </c>
      <c r="M18" s="13">
        <v>400</v>
      </c>
      <c r="N18" s="13">
        <v>3</v>
      </c>
      <c r="O18" s="14">
        <f t="shared" si="1"/>
        <v>0.33600000000000002</v>
      </c>
      <c r="P18" s="13"/>
      <c r="Q18" s="14"/>
      <c r="R18" s="13"/>
      <c r="T18" s="13">
        <v>10</v>
      </c>
      <c r="U18" s="13">
        <v>25</v>
      </c>
      <c r="V18" s="13">
        <v>400</v>
      </c>
      <c r="W18" s="13">
        <v>9</v>
      </c>
      <c r="X18" s="14">
        <f t="shared" si="2"/>
        <v>0.9</v>
      </c>
      <c r="Y18" s="13"/>
      <c r="Z18" s="14"/>
      <c r="AA18" s="13"/>
      <c r="AC18" s="13">
        <v>10</v>
      </c>
      <c r="AD18" s="13">
        <v>25</v>
      </c>
      <c r="AE18" s="13">
        <v>400</v>
      </c>
      <c r="AF18" s="13">
        <v>14</v>
      </c>
      <c r="AG18" s="14">
        <f t="shared" si="3"/>
        <v>1.4</v>
      </c>
      <c r="AH18" s="13"/>
      <c r="AI18" s="14"/>
      <c r="AJ18" s="13"/>
      <c r="AL18" s="28" t="s">
        <v>18</v>
      </c>
      <c r="AM18" s="27" t="s">
        <v>34</v>
      </c>
      <c r="AN18" s="26"/>
      <c r="AO18" s="26"/>
      <c r="AP18" s="26"/>
      <c r="AQ18" s="26"/>
      <c r="AR18" s="26"/>
      <c r="AS18" s="26"/>
      <c r="AU18" s="13">
        <v>8</v>
      </c>
      <c r="AV18" s="13">
        <v>25</v>
      </c>
      <c r="AW18" s="13">
        <v>400</v>
      </c>
      <c r="AX18" s="13">
        <v>1</v>
      </c>
      <c r="AY18" s="14">
        <f t="shared" si="5"/>
        <v>0.08</v>
      </c>
      <c r="AZ18" s="13"/>
      <c r="BA18" s="14"/>
      <c r="BB18" s="13"/>
      <c r="BD18" s="13">
        <v>5</v>
      </c>
      <c r="BE18" s="13">
        <v>10</v>
      </c>
      <c r="BF18" s="13">
        <v>400</v>
      </c>
      <c r="BG18" s="13">
        <v>14</v>
      </c>
      <c r="BH18" s="14">
        <f t="shared" si="6"/>
        <v>0.28000000000000003</v>
      </c>
      <c r="BI18" s="13"/>
      <c r="BJ18" s="14"/>
      <c r="BK18" s="13"/>
      <c r="BM18" s="13">
        <v>7</v>
      </c>
      <c r="BN18" s="13">
        <v>15</v>
      </c>
      <c r="BO18" s="13">
        <v>400</v>
      </c>
      <c r="BP18" s="13">
        <v>6</v>
      </c>
      <c r="BQ18" s="14">
        <f t="shared" si="7"/>
        <v>0.252</v>
      </c>
      <c r="BR18" s="13"/>
      <c r="BS18" s="14"/>
      <c r="BT18" s="13"/>
      <c r="BV18" s="13">
        <v>3</v>
      </c>
      <c r="BW18" s="13">
        <v>20</v>
      </c>
      <c r="BX18" s="13">
        <v>400</v>
      </c>
      <c r="BY18" s="13">
        <v>1</v>
      </c>
      <c r="BZ18" s="14">
        <f t="shared" si="8"/>
        <v>2.4E-2</v>
      </c>
      <c r="CA18" s="13"/>
      <c r="CB18" s="14"/>
      <c r="CC18" s="13"/>
      <c r="CE18" s="13">
        <v>10</v>
      </c>
      <c r="CF18" s="13">
        <v>15</v>
      </c>
      <c r="CG18" s="13">
        <v>400</v>
      </c>
      <c r="CH18" s="13">
        <v>1</v>
      </c>
      <c r="CI18" s="14">
        <f t="shared" si="9"/>
        <v>0.06</v>
      </c>
      <c r="CJ18" s="13"/>
      <c r="CK18" s="14"/>
      <c r="CL18" s="41"/>
      <c r="CN18" s="13">
        <v>7</v>
      </c>
      <c r="CO18" s="13">
        <v>28</v>
      </c>
      <c r="CP18" s="13">
        <v>400</v>
      </c>
      <c r="CQ18" s="13">
        <v>2</v>
      </c>
      <c r="CR18" s="14">
        <f t="shared" si="10"/>
        <v>0.15679999999999999</v>
      </c>
      <c r="CS18" s="13"/>
      <c r="CT18" s="14"/>
      <c r="CU18" s="41"/>
      <c r="CW18" s="13">
        <v>7</v>
      </c>
      <c r="CX18" s="13">
        <v>15</v>
      </c>
      <c r="CY18" s="13">
        <v>400</v>
      </c>
      <c r="CZ18" s="13">
        <v>7</v>
      </c>
      <c r="DA18" s="14">
        <f t="shared" si="11"/>
        <v>0.29399999999999998</v>
      </c>
      <c r="DB18" s="13"/>
      <c r="DC18" s="14"/>
      <c r="DD18" s="41"/>
      <c r="DF18" s="13">
        <v>1.7</v>
      </c>
      <c r="DG18" s="13">
        <v>13</v>
      </c>
      <c r="DH18" s="13">
        <v>400</v>
      </c>
      <c r="DI18" s="13">
        <v>1</v>
      </c>
      <c r="DJ18" s="14">
        <f t="shared" si="12"/>
        <v>8.8400000000000006E-3</v>
      </c>
      <c r="DK18" s="13"/>
      <c r="DL18" s="14"/>
      <c r="DM18" s="41"/>
    </row>
    <row r="19" spans="2:117" ht="15.75" x14ac:dyDescent="0.25">
      <c r="B19" s="13">
        <v>8</v>
      </c>
      <c r="C19" s="13">
        <v>12</v>
      </c>
      <c r="D19" s="13">
        <v>400</v>
      </c>
      <c r="E19" s="13">
        <v>1</v>
      </c>
      <c r="F19" s="14">
        <f t="shared" si="0"/>
        <v>3.8399999999999997E-2</v>
      </c>
      <c r="G19" s="13"/>
      <c r="H19" s="14"/>
      <c r="I19" s="13"/>
      <c r="K19" s="13">
        <v>10</v>
      </c>
      <c r="L19" s="13">
        <v>25</v>
      </c>
      <c r="M19" s="13">
        <v>400</v>
      </c>
      <c r="N19" s="13">
        <v>5</v>
      </c>
      <c r="O19" s="14">
        <f t="shared" si="1"/>
        <v>0.5</v>
      </c>
      <c r="P19" s="13"/>
      <c r="Q19" s="14"/>
      <c r="R19" s="13"/>
      <c r="T19" s="13">
        <v>10</v>
      </c>
      <c r="U19" s="13">
        <v>20</v>
      </c>
      <c r="V19" s="13">
        <v>400</v>
      </c>
      <c r="W19" s="13">
        <v>12</v>
      </c>
      <c r="X19" s="14">
        <f t="shared" si="2"/>
        <v>0.96</v>
      </c>
      <c r="Y19" s="13"/>
      <c r="Z19" s="14"/>
      <c r="AA19" s="13"/>
      <c r="AC19" s="13">
        <v>10</v>
      </c>
      <c r="AD19" s="13">
        <v>23</v>
      </c>
      <c r="AE19" s="13">
        <v>400</v>
      </c>
      <c r="AF19" s="13">
        <v>3</v>
      </c>
      <c r="AG19" s="14">
        <f t="shared" si="3"/>
        <v>0.27600000000000002</v>
      </c>
      <c r="AH19" s="13"/>
      <c r="AI19" s="14"/>
      <c r="AJ19" s="13"/>
      <c r="AL19" s="28" t="s">
        <v>16</v>
      </c>
      <c r="AM19" s="27" t="s">
        <v>33</v>
      </c>
      <c r="AN19" s="26"/>
      <c r="AO19" s="26"/>
      <c r="AP19" s="26"/>
      <c r="AQ19" s="26"/>
      <c r="AR19" s="26"/>
      <c r="AS19" s="26"/>
      <c r="AU19" s="13">
        <v>12</v>
      </c>
      <c r="AV19" s="13">
        <v>25</v>
      </c>
      <c r="AW19" s="13">
        <v>400</v>
      </c>
      <c r="AX19" s="13">
        <v>2</v>
      </c>
      <c r="AY19" s="14">
        <f t="shared" si="5"/>
        <v>0.24</v>
      </c>
      <c r="AZ19" s="13"/>
      <c r="BA19" s="14"/>
      <c r="BB19" s="13"/>
      <c r="BD19" s="13">
        <v>2</v>
      </c>
      <c r="BE19" s="13">
        <v>10</v>
      </c>
      <c r="BF19" s="13">
        <v>400</v>
      </c>
      <c r="BG19" s="13">
        <v>11</v>
      </c>
      <c r="BH19" s="14">
        <f t="shared" si="6"/>
        <v>8.7999999999999995E-2</v>
      </c>
      <c r="BI19" s="13"/>
      <c r="BJ19" s="14"/>
      <c r="BK19" s="41"/>
      <c r="BM19" s="13">
        <v>4.5</v>
      </c>
      <c r="BN19" s="13">
        <v>15</v>
      </c>
      <c r="BO19" s="13">
        <v>400</v>
      </c>
      <c r="BP19" s="13">
        <v>8</v>
      </c>
      <c r="BQ19" s="14">
        <f t="shared" si="7"/>
        <v>0.216</v>
      </c>
      <c r="BR19" s="13"/>
      <c r="BS19" s="14"/>
      <c r="BT19" s="41"/>
      <c r="BV19" s="57">
        <v>5</v>
      </c>
      <c r="BW19" s="57">
        <v>7</v>
      </c>
      <c r="BX19" s="57">
        <v>400</v>
      </c>
      <c r="BY19" s="57">
        <v>4</v>
      </c>
      <c r="BZ19" s="56">
        <f t="shared" si="8"/>
        <v>5.6000000000000001E-2</v>
      </c>
      <c r="CA19" s="57"/>
      <c r="CB19" s="56"/>
      <c r="CC19" s="140"/>
      <c r="CE19" s="13">
        <v>12</v>
      </c>
      <c r="CF19" s="13">
        <v>15</v>
      </c>
      <c r="CG19" s="13">
        <v>400</v>
      </c>
      <c r="CH19" s="13">
        <v>2</v>
      </c>
      <c r="CI19" s="14">
        <f t="shared" si="9"/>
        <v>0.14399999999999999</v>
      </c>
      <c r="CJ19" s="13"/>
      <c r="CK19" s="14"/>
      <c r="CL19" s="41"/>
      <c r="CN19" s="13">
        <v>13</v>
      </c>
      <c r="CO19" s="13">
        <v>20</v>
      </c>
      <c r="CP19" s="13">
        <v>400</v>
      </c>
      <c r="CQ19" s="13">
        <v>1</v>
      </c>
      <c r="CR19" s="14">
        <f t="shared" si="10"/>
        <v>0.104</v>
      </c>
      <c r="CS19" s="13"/>
      <c r="CT19" s="14"/>
      <c r="CU19" s="41"/>
      <c r="CW19" s="13">
        <v>4.5</v>
      </c>
      <c r="CX19" s="13">
        <v>15</v>
      </c>
      <c r="CY19" s="13">
        <v>400</v>
      </c>
      <c r="CZ19" s="13">
        <v>13</v>
      </c>
      <c r="DA19" s="14">
        <f t="shared" si="11"/>
        <v>0.35099999999999998</v>
      </c>
      <c r="DB19" s="13"/>
      <c r="DC19" s="14"/>
      <c r="DD19" s="41"/>
      <c r="DF19" s="13">
        <v>4.5</v>
      </c>
      <c r="DG19" s="13">
        <v>10</v>
      </c>
      <c r="DH19" s="13">
        <v>400</v>
      </c>
      <c r="DI19" s="13">
        <v>62</v>
      </c>
      <c r="DJ19" s="14">
        <f t="shared" si="12"/>
        <v>1.1160000000000001</v>
      </c>
      <c r="DK19" s="13"/>
      <c r="DL19" s="14"/>
      <c r="DM19" s="41"/>
    </row>
    <row r="20" spans="2:117" ht="15.75" x14ac:dyDescent="0.25">
      <c r="B20" s="13">
        <v>8</v>
      </c>
      <c r="C20" s="13">
        <v>8</v>
      </c>
      <c r="D20" s="13">
        <v>400</v>
      </c>
      <c r="E20" s="13">
        <v>3</v>
      </c>
      <c r="F20" s="14">
        <f t="shared" si="0"/>
        <v>7.6799999999999993E-2</v>
      </c>
      <c r="G20" s="13">
        <f>SUM(E15:E20)</f>
        <v>18</v>
      </c>
      <c r="H20" s="14">
        <f>SUM(F15:F20)</f>
        <v>1.0688</v>
      </c>
      <c r="I20" s="13"/>
      <c r="K20" s="13">
        <v>10</v>
      </c>
      <c r="L20" s="13">
        <v>23</v>
      </c>
      <c r="M20" s="13">
        <v>400</v>
      </c>
      <c r="N20" s="13">
        <v>7</v>
      </c>
      <c r="O20" s="14">
        <f t="shared" si="1"/>
        <v>0.64400000000000002</v>
      </c>
      <c r="P20" s="13"/>
      <c r="Q20" s="14"/>
      <c r="R20" s="13"/>
      <c r="T20" s="13">
        <v>10</v>
      </c>
      <c r="U20" s="13">
        <v>18</v>
      </c>
      <c r="V20" s="13">
        <v>400</v>
      </c>
      <c r="W20" s="13">
        <v>2</v>
      </c>
      <c r="X20" s="14">
        <f t="shared" si="2"/>
        <v>0.14399999999999999</v>
      </c>
      <c r="Y20" s="13"/>
      <c r="Z20" s="14"/>
      <c r="AA20" s="13"/>
      <c r="AC20" s="13">
        <v>10</v>
      </c>
      <c r="AD20" s="13">
        <v>18</v>
      </c>
      <c r="AE20" s="13">
        <v>400</v>
      </c>
      <c r="AF20" s="13">
        <v>4</v>
      </c>
      <c r="AG20" s="14">
        <f t="shared" si="3"/>
        <v>0.28799999999999998</v>
      </c>
      <c r="AH20" s="13"/>
      <c r="AI20" s="14"/>
      <c r="AJ20" s="13"/>
      <c r="AL20" s="60" t="s">
        <v>52</v>
      </c>
      <c r="AM20" s="25"/>
      <c r="AN20" s="25"/>
      <c r="AO20" s="25"/>
      <c r="AP20" s="25"/>
      <c r="AQ20" s="225" t="s">
        <v>69</v>
      </c>
      <c r="AR20" s="225"/>
      <c r="AS20" s="225"/>
      <c r="AU20" s="13">
        <v>4</v>
      </c>
      <c r="AV20" s="13">
        <v>20</v>
      </c>
      <c r="AW20" s="13">
        <v>400</v>
      </c>
      <c r="AX20" s="13">
        <v>1</v>
      </c>
      <c r="AY20" s="14">
        <f t="shared" si="5"/>
        <v>3.2000000000000001E-2</v>
      </c>
      <c r="AZ20" s="37"/>
      <c r="BA20" s="42"/>
      <c r="BB20" s="41"/>
      <c r="BD20" s="119">
        <v>5</v>
      </c>
      <c r="BE20" s="119">
        <v>7</v>
      </c>
      <c r="BF20" s="119">
        <v>400</v>
      </c>
      <c r="BG20" s="119">
        <v>44</v>
      </c>
      <c r="BH20" s="120">
        <f t="shared" si="6"/>
        <v>0.61599999999999999</v>
      </c>
      <c r="BI20" s="119"/>
      <c r="BJ20" s="120"/>
      <c r="BK20" s="121"/>
      <c r="BM20" s="13">
        <v>2.2000000000000002</v>
      </c>
      <c r="BN20" s="13">
        <v>15</v>
      </c>
      <c r="BO20" s="13">
        <v>400</v>
      </c>
      <c r="BP20" s="13">
        <v>4</v>
      </c>
      <c r="BQ20" s="14">
        <f t="shared" si="7"/>
        <v>5.28E-2</v>
      </c>
      <c r="BR20" s="13"/>
      <c r="BS20" s="14"/>
      <c r="BT20" s="41"/>
      <c r="BV20" s="57">
        <v>4</v>
      </c>
      <c r="BW20" s="57">
        <v>6</v>
      </c>
      <c r="BX20" s="57">
        <v>400</v>
      </c>
      <c r="BY20" s="57">
        <v>12</v>
      </c>
      <c r="BZ20" s="56">
        <f t="shared" si="8"/>
        <v>0.1152</v>
      </c>
      <c r="CA20" s="159"/>
      <c r="CB20" s="178"/>
      <c r="CC20" s="140"/>
      <c r="CE20" s="13">
        <v>10</v>
      </c>
      <c r="CF20" s="13">
        <v>15</v>
      </c>
      <c r="CG20" s="13">
        <v>400</v>
      </c>
      <c r="CH20" s="13">
        <v>2</v>
      </c>
      <c r="CI20" s="14">
        <f t="shared" si="9"/>
        <v>0.12</v>
      </c>
      <c r="CJ20" s="13"/>
      <c r="CK20" s="14"/>
      <c r="CL20" s="41"/>
      <c r="CN20" s="13">
        <v>15</v>
      </c>
      <c r="CO20" s="13">
        <v>23</v>
      </c>
      <c r="CP20" s="13">
        <v>400</v>
      </c>
      <c r="CQ20" s="13">
        <v>1</v>
      </c>
      <c r="CR20" s="14">
        <f t="shared" si="10"/>
        <v>0.13800000000000001</v>
      </c>
      <c r="CS20" s="13"/>
      <c r="CT20" s="14"/>
      <c r="CU20" s="41"/>
      <c r="CW20" s="13">
        <v>2.2000000000000002</v>
      </c>
      <c r="CX20" s="13">
        <v>15</v>
      </c>
      <c r="CY20" s="13">
        <v>400</v>
      </c>
      <c r="CZ20" s="13">
        <v>14</v>
      </c>
      <c r="DA20" s="14">
        <f t="shared" si="11"/>
        <v>0.18479999999999999</v>
      </c>
      <c r="DB20" s="13"/>
      <c r="DC20" s="14"/>
      <c r="DD20" s="41"/>
      <c r="DF20" s="13">
        <v>2.2000000000000002</v>
      </c>
      <c r="DG20" s="13">
        <v>10</v>
      </c>
      <c r="DH20" s="13">
        <v>400</v>
      </c>
      <c r="DI20" s="13">
        <v>28</v>
      </c>
      <c r="DJ20" s="14">
        <f t="shared" si="12"/>
        <v>0.24640000000000001</v>
      </c>
      <c r="DK20" s="13"/>
      <c r="DL20" s="14"/>
      <c r="DM20" s="41"/>
    </row>
    <row r="21" spans="2:117" ht="15.75" x14ac:dyDescent="0.25">
      <c r="B21" s="13">
        <v>5</v>
      </c>
      <c r="C21" s="13">
        <v>15</v>
      </c>
      <c r="D21" s="13">
        <v>400</v>
      </c>
      <c r="E21" s="13">
        <v>6</v>
      </c>
      <c r="F21" s="14">
        <f t="shared" si="0"/>
        <v>0.18</v>
      </c>
      <c r="G21" s="13"/>
      <c r="H21" s="14"/>
      <c r="I21" s="13"/>
      <c r="K21" s="13">
        <v>10</v>
      </c>
      <c r="L21" s="13">
        <v>20</v>
      </c>
      <c r="M21" s="13">
        <v>400</v>
      </c>
      <c r="N21" s="13">
        <v>4</v>
      </c>
      <c r="O21" s="14">
        <f t="shared" si="1"/>
        <v>0.32</v>
      </c>
      <c r="P21" s="13"/>
      <c r="Q21" s="14"/>
      <c r="R21" s="13"/>
      <c r="T21" s="13">
        <v>10</v>
      </c>
      <c r="U21" s="13">
        <v>15</v>
      </c>
      <c r="V21" s="13">
        <v>400</v>
      </c>
      <c r="W21" s="13">
        <v>15</v>
      </c>
      <c r="X21" s="14">
        <f t="shared" si="2"/>
        <v>0.9</v>
      </c>
      <c r="Y21" s="13"/>
      <c r="Z21" s="14"/>
      <c r="AA21" s="13"/>
      <c r="AC21" s="13">
        <v>10</v>
      </c>
      <c r="AD21" s="13">
        <v>15</v>
      </c>
      <c r="AE21" s="13">
        <v>400</v>
      </c>
      <c r="AF21" s="13">
        <v>14</v>
      </c>
      <c r="AG21" s="14">
        <f t="shared" si="3"/>
        <v>0.84</v>
      </c>
      <c r="AH21" s="13">
        <f>SUM(AF16:AF21)</f>
        <v>39</v>
      </c>
      <c r="AI21" s="14">
        <f>SUM(AG16:AG21)</f>
        <v>3.2959999999999998</v>
      </c>
      <c r="AJ21" s="13"/>
      <c r="AL21" s="226" t="s">
        <v>13</v>
      </c>
      <c r="AM21" s="227"/>
      <c r="AN21" s="228"/>
      <c r="AO21" s="227" t="s">
        <v>12</v>
      </c>
      <c r="AP21" s="228"/>
      <c r="AQ21" s="227" t="s">
        <v>12</v>
      </c>
      <c r="AR21" s="228"/>
      <c r="AS21" s="229" t="s">
        <v>11</v>
      </c>
      <c r="AU21" s="13">
        <v>6</v>
      </c>
      <c r="AV21" s="13">
        <v>20</v>
      </c>
      <c r="AW21" s="13">
        <v>400</v>
      </c>
      <c r="AX21" s="13">
        <v>2</v>
      </c>
      <c r="AY21" s="14">
        <f t="shared" si="5"/>
        <v>9.6000000000000002E-2</v>
      </c>
      <c r="AZ21" s="13"/>
      <c r="BA21" s="14"/>
      <c r="BB21" s="13"/>
      <c r="BD21" s="119">
        <v>4</v>
      </c>
      <c r="BE21" s="119">
        <v>6</v>
      </c>
      <c r="BF21" s="119">
        <v>400</v>
      </c>
      <c r="BG21" s="119">
        <v>54</v>
      </c>
      <c r="BH21" s="120">
        <f t="shared" si="6"/>
        <v>0.51839999999999997</v>
      </c>
      <c r="BI21" s="119"/>
      <c r="BJ21" s="120"/>
      <c r="BK21" s="119"/>
      <c r="BM21" s="13">
        <v>10</v>
      </c>
      <c r="BN21" s="13">
        <v>13</v>
      </c>
      <c r="BO21" s="13">
        <v>400</v>
      </c>
      <c r="BP21" s="13">
        <v>6</v>
      </c>
      <c r="BQ21" s="14">
        <f t="shared" si="7"/>
        <v>0.312</v>
      </c>
      <c r="BR21" s="13"/>
      <c r="BS21" s="14"/>
      <c r="BT21" s="13"/>
      <c r="BV21" s="13">
        <v>5</v>
      </c>
      <c r="BW21" s="13">
        <v>10</v>
      </c>
      <c r="BX21" s="13">
        <v>300</v>
      </c>
      <c r="BY21" s="13">
        <v>1</v>
      </c>
      <c r="BZ21" s="14">
        <f t="shared" si="8"/>
        <v>1.4999999999999999E-2</v>
      </c>
      <c r="CA21" s="13"/>
      <c r="CB21" s="14"/>
      <c r="CC21" s="13"/>
      <c r="CE21" s="13">
        <v>2</v>
      </c>
      <c r="CF21" s="13">
        <v>15</v>
      </c>
      <c r="CG21" s="13">
        <v>400</v>
      </c>
      <c r="CH21" s="13">
        <v>1</v>
      </c>
      <c r="CI21" s="14">
        <f t="shared" si="9"/>
        <v>1.2E-2</v>
      </c>
      <c r="CJ21" s="13"/>
      <c r="CK21" s="14"/>
      <c r="CL21" s="41"/>
      <c r="CN21" s="13">
        <v>4.5</v>
      </c>
      <c r="CO21" s="13">
        <v>20</v>
      </c>
      <c r="CP21" s="13">
        <v>400</v>
      </c>
      <c r="CQ21" s="13">
        <v>5</v>
      </c>
      <c r="CR21" s="14">
        <f t="shared" si="10"/>
        <v>0.18</v>
      </c>
      <c r="CS21" s="13"/>
      <c r="CT21" s="14"/>
      <c r="CU21" s="41"/>
      <c r="CW21" s="13">
        <v>10</v>
      </c>
      <c r="CX21" s="13">
        <v>13</v>
      </c>
      <c r="CY21" s="13">
        <v>400</v>
      </c>
      <c r="CZ21" s="13">
        <v>1</v>
      </c>
      <c r="DA21" s="14">
        <f t="shared" si="11"/>
        <v>5.1999999999999998E-2</v>
      </c>
      <c r="DB21" s="13"/>
      <c r="DC21" s="14"/>
      <c r="DD21" s="41"/>
      <c r="DF21" s="13">
        <v>3.5</v>
      </c>
      <c r="DG21" s="13">
        <v>10</v>
      </c>
      <c r="DH21" s="13">
        <v>400</v>
      </c>
      <c r="DI21" s="13">
        <v>7</v>
      </c>
      <c r="DJ21" s="14">
        <f t="shared" si="12"/>
        <v>9.8000000000000004E-2</v>
      </c>
      <c r="DK21" s="13"/>
      <c r="DL21" s="14"/>
      <c r="DM21" s="41"/>
    </row>
    <row r="22" spans="2:117" ht="15.75" x14ac:dyDescent="0.25">
      <c r="B22" s="13">
        <v>5</v>
      </c>
      <c r="C22" s="13">
        <v>10</v>
      </c>
      <c r="D22" s="13">
        <v>400</v>
      </c>
      <c r="E22" s="13">
        <v>9</v>
      </c>
      <c r="F22" s="14">
        <f t="shared" si="0"/>
        <v>0.18</v>
      </c>
      <c r="G22" s="13"/>
      <c r="H22" s="14"/>
      <c r="I22" s="13"/>
      <c r="K22" s="13">
        <v>10</v>
      </c>
      <c r="L22" s="13">
        <v>18</v>
      </c>
      <c r="M22" s="13">
        <v>400</v>
      </c>
      <c r="N22" s="13">
        <v>4</v>
      </c>
      <c r="O22" s="14">
        <f t="shared" si="1"/>
        <v>0.28799999999999998</v>
      </c>
      <c r="P22" s="13"/>
      <c r="Q22" s="14"/>
      <c r="R22" s="13"/>
      <c r="T22" s="13">
        <v>10</v>
      </c>
      <c r="U22" s="13">
        <v>13</v>
      </c>
      <c r="V22" s="13">
        <v>400</v>
      </c>
      <c r="W22" s="13">
        <v>4</v>
      </c>
      <c r="X22" s="14">
        <f t="shared" si="2"/>
        <v>0.20799999999999999</v>
      </c>
      <c r="Y22" s="13">
        <f>SUM(W17:W22)</f>
        <v>45</v>
      </c>
      <c r="Z22" s="14">
        <f>SUM(X17:X22)</f>
        <v>3.472</v>
      </c>
      <c r="AA22" s="13"/>
      <c r="AC22" s="13">
        <v>8</v>
      </c>
      <c r="AD22" s="13">
        <v>30</v>
      </c>
      <c r="AE22" s="13">
        <v>400</v>
      </c>
      <c r="AF22" s="13">
        <v>1</v>
      </c>
      <c r="AG22" s="14">
        <f t="shared" si="3"/>
        <v>9.6000000000000002E-2</v>
      </c>
      <c r="AH22" s="13"/>
      <c r="AI22" s="14"/>
      <c r="AJ22" s="13"/>
      <c r="AL22" s="24" t="s">
        <v>10</v>
      </c>
      <c r="AM22" s="23" t="s">
        <v>9</v>
      </c>
      <c r="AN22" s="23" t="s">
        <v>8</v>
      </c>
      <c r="AO22" s="22" t="s">
        <v>7</v>
      </c>
      <c r="AP22" s="21" t="s">
        <v>6</v>
      </c>
      <c r="AQ22" s="22" t="s">
        <v>7</v>
      </c>
      <c r="AR22" s="21" t="s">
        <v>6</v>
      </c>
      <c r="AS22" s="230"/>
      <c r="AU22" s="13">
        <v>3</v>
      </c>
      <c r="AV22" s="13">
        <v>20</v>
      </c>
      <c r="AW22" s="13">
        <v>400</v>
      </c>
      <c r="AX22" s="13">
        <v>2</v>
      </c>
      <c r="AY22" s="14">
        <f t="shared" si="5"/>
        <v>4.8000000000000001E-2</v>
      </c>
      <c r="AZ22" s="13"/>
      <c r="BA22" s="14"/>
      <c r="BB22" s="13"/>
      <c r="BD22" s="119">
        <v>3</v>
      </c>
      <c r="BE22" s="119">
        <v>5</v>
      </c>
      <c r="BF22" s="119">
        <v>400</v>
      </c>
      <c r="BG22" s="119">
        <v>90</v>
      </c>
      <c r="BH22" s="120">
        <f t="shared" si="6"/>
        <v>0.54</v>
      </c>
      <c r="BI22" s="119"/>
      <c r="BJ22" s="120"/>
      <c r="BK22" s="119"/>
      <c r="BM22" s="13">
        <v>4.5</v>
      </c>
      <c r="BN22" s="13">
        <v>13</v>
      </c>
      <c r="BO22" s="13">
        <v>400</v>
      </c>
      <c r="BP22" s="13">
        <v>7</v>
      </c>
      <c r="BQ22" s="14">
        <f t="shared" si="7"/>
        <v>0.1638</v>
      </c>
      <c r="BR22" s="13"/>
      <c r="BS22" s="14"/>
      <c r="BT22" s="13"/>
      <c r="BV22" s="13">
        <v>2</v>
      </c>
      <c r="BW22" s="13">
        <v>10</v>
      </c>
      <c r="BX22" s="13">
        <v>300</v>
      </c>
      <c r="BY22" s="13">
        <v>3</v>
      </c>
      <c r="BZ22" s="14">
        <f t="shared" si="8"/>
        <v>1.7999999999999999E-2</v>
      </c>
      <c r="CA22" s="13"/>
      <c r="CB22" s="14"/>
      <c r="CC22" s="13"/>
      <c r="CE22" s="13">
        <v>6</v>
      </c>
      <c r="CF22" s="13">
        <v>15</v>
      </c>
      <c r="CG22" s="13">
        <v>400</v>
      </c>
      <c r="CH22" s="13">
        <v>3</v>
      </c>
      <c r="CI22" s="14">
        <f t="shared" si="9"/>
        <v>0.108</v>
      </c>
      <c r="CJ22" s="13"/>
      <c r="CK22" s="14"/>
      <c r="CL22" s="41"/>
      <c r="CN22" s="13">
        <v>10</v>
      </c>
      <c r="CO22" s="13">
        <v>20</v>
      </c>
      <c r="CP22" s="13">
        <v>400</v>
      </c>
      <c r="CQ22" s="13">
        <v>9</v>
      </c>
      <c r="CR22" s="14">
        <f t="shared" si="10"/>
        <v>0.72</v>
      </c>
      <c r="CS22" s="13"/>
      <c r="CT22" s="14"/>
      <c r="CU22" s="41"/>
      <c r="CW22" s="13">
        <v>7</v>
      </c>
      <c r="CX22" s="13">
        <v>13</v>
      </c>
      <c r="CY22" s="13">
        <v>400</v>
      </c>
      <c r="CZ22" s="13">
        <v>2</v>
      </c>
      <c r="DA22" s="14">
        <f t="shared" si="11"/>
        <v>7.2800000000000004E-2</v>
      </c>
      <c r="DB22" s="13"/>
      <c r="DC22" s="14"/>
      <c r="DD22" s="41"/>
      <c r="DF22" s="13">
        <v>7</v>
      </c>
      <c r="DG22" s="13">
        <v>10</v>
      </c>
      <c r="DH22" s="13">
        <v>400</v>
      </c>
      <c r="DI22" s="13">
        <v>4</v>
      </c>
      <c r="DJ22" s="14">
        <f t="shared" si="12"/>
        <v>0.112</v>
      </c>
      <c r="DK22" s="13"/>
      <c r="DL22" s="14"/>
      <c r="DM22" s="41"/>
    </row>
    <row r="23" spans="2:117" ht="15.75" x14ac:dyDescent="0.25">
      <c r="B23" s="13">
        <v>5</v>
      </c>
      <c r="C23" s="13">
        <v>8</v>
      </c>
      <c r="D23" s="13">
        <v>400</v>
      </c>
      <c r="E23" s="13">
        <v>58</v>
      </c>
      <c r="F23" s="14">
        <f t="shared" si="0"/>
        <v>0.92800000000000005</v>
      </c>
      <c r="G23" s="13">
        <f>SUM(E21:E23)</f>
        <v>73</v>
      </c>
      <c r="H23" s="14">
        <f>SUM(F21:F23)</f>
        <v>1.288</v>
      </c>
      <c r="I23" s="13"/>
      <c r="K23" s="13">
        <v>10</v>
      </c>
      <c r="L23" s="13">
        <v>15</v>
      </c>
      <c r="M23" s="13">
        <v>400</v>
      </c>
      <c r="N23" s="13">
        <v>2</v>
      </c>
      <c r="O23" s="14">
        <f t="shared" si="1"/>
        <v>0.12</v>
      </c>
      <c r="P23" s="13">
        <f>SUM(N17:N23)</f>
        <v>26</v>
      </c>
      <c r="Q23" s="14">
        <f>SUM(O17:O23)</f>
        <v>2.3400000000000003</v>
      </c>
      <c r="R23" s="13"/>
      <c r="T23" s="13">
        <v>8</v>
      </c>
      <c r="U23" s="13">
        <v>30</v>
      </c>
      <c r="V23" s="13">
        <v>400</v>
      </c>
      <c r="W23" s="13">
        <v>1</v>
      </c>
      <c r="X23" s="14">
        <f t="shared" si="2"/>
        <v>9.6000000000000002E-2</v>
      </c>
      <c r="Y23" s="13"/>
      <c r="Z23" s="14"/>
      <c r="AA23" s="13"/>
      <c r="AC23" s="13">
        <v>8</v>
      </c>
      <c r="AD23" s="13">
        <v>23</v>
      </c>
      <c r="AE23" s="13">
        <v>400</v>
      </c>
      <c r="AF23" s="13">
        <v>1</v>
      </c>
      <c r="AG23" s="14">
        <f t="shared" si="3"/>
        <v>7.3599999999999999E-2</v>
      </c>
      <c r="AH23" s="13"/>
      <c r="AI23" s="14"/>
      <c r="AJ23" s="13"/>
      <c r="AL23" s="13">
        <v>15</v>
      </c>
      <c r="AM23" s="13">
        <v>30</v>
      </c>
      <c r="AN23" s="13">
        <v>400</v>
      </c>
      <c r="AO23" s="13">
        <v>2</v>
      </c>
      <c r="AP23" s="14">
        <f t="shared" ref="AP23:AP66" si="13">AL23*AM23*AN23*AO23/1000000</f>
        <v>0.36</v>
      </c>
      <c r="AQ23" s="13"/>
      <c r="AR23" s="14"/>
      <c r="AS23" s="13"/>
      <c r="AU23" s="13">
        <v>10</v>
      </c>
      <c r="AV23" s="13">
        <v>20</v>
      </c>
      <c r="AW23" s="13">
        <v>400</v>
      </c>
      <c r="AX23" s="13">
        <v>2</v>
      </c>
      <c r="AY23" s="14">
        <f t="shared" si="5"/>
        <v>0.16</v>
      </c>
      <c r="AZ23" s="13"/>
      <c r="BA23" s="14"/>
      <c r="BB23" s="13"/>
      <c r="BD23" s="119">
        <v>2</v>
      </c>
      <c r="BE23" s="119">
        <v>3</v>
      </c>
      <c r="BF23" s="119">
        <v>400</v>
      </c>
      <c r="BG23" s="119">
        <v>125</v>
      </c>
      <c r="BH23" s="120">
        <f t="shared" si="6"/>
        <v>0.3</v>
      </c>
      <c r="BI23" s="119"/>
      <c r="BJ23" s="120"/>
      <c r="BK23" s="119"/>
      <c r="BM23" s="13">
        <v>4.5</v>
      </c>
      <c r="BN23" s="13">
        <v>10</v>
      </c>
      <c r="BO23" s="13">
        <v>400</v>
      </c>
      <c r="BP23" s="13">
        <v>83</v>
      </c>
      <c r="BQ23" s="14">
        <f t="shared" si="7"/>
        <v>1.494</v>
      </c>
      <c r="BR23" s="13"/>
      <c r="BS23" s="14"/>
      <c r="BT23" s="13"/>
      <c r="BV23" s="13">
        <v>2</v>
      </c>
      <c r="BW23" s="13">
        <v>15</v>
      </c>
      <c r="BX23" s="13">
        <v>300</v>
      </c>
      <c r="BY23" s="13">
        <v>2</v>
      </c>
      <c r="BZ23" s="14">
        <f t="shared" si="8"/>
        <v>1.7999999999999999E-2</v>
      </c>
      <c r="CA23" s="37">
        <f>SUM(BY8:BY23)</f>
        <v>37</v>
      </c>
      <c r="CB23" s="42">
        <f>SUM(BZ8:BZ23)</f>
        <v>1.0086000000000002</v>
      </c>
      <c r="CC23" s="41" t="s">
        <v>21</v>
      </c>
      <c r="CE23" s="13">
        <v>5</v>
      </c>
      <c r="CF23" s="13">
        <v>15</v>
      </c>
      <c r="CG23" s="13">
        <v>400</v>
      </c>
      <c r="CH23" s="13">
        <v>2</v>
      </c>
      <c r="CI23" s="14">
        <f t="shared" si="9"/>
        <v>0.06</v>
      </c>
      <c r="CJ23" s="13"/>
      <c r="CK23" s="14"/>
      <c r="CL23" s="41"/>
      <c r="CN23" s="13">
        <v>13</v>
      </c>
      <c r="CO23" s="13">
        <v>20</v>
      </c>
      <c r="CP23" s="13">
        <v>400</v>
      </c>
      <c r="CQ23" s="13">
        <v>2</v>
      </c>
      <c r="CR23" s="14">
        <f t="shared" si="10"/>
        <v>0.20799999999999999</v>
      </c>
      <c r="CS23" s="13"/>
      <c r="CT23" s="14"/>
      <c r="CU23" s="41"/>
      <c r="CW23" s="13">
        <v>4.5</v>
      </c>
      <c r="CX23" s="13">
        <v>13</v>
      </c>
      <c r="CY23" s="13">
        <v>400</v>
      </c>
      <c r="CZ23" s="13">
        <v>8</v>
      </c>
      <c r="DA23" s="14">
        <f t="shared" si="11"/>
        <v>0.18720000000000001</v>
      </c>
      <c r="DB23" s="13"/>
      <c r="DC23" s="14"/>
      <c r="DD23" s="41"/>
      <c r="DF23" s="13">
        <v>10</v>
      </c>
      <c r="DG23" s="13">
        <v>10</v>
      </c>
      <c r="DH23" s="13">
        <v>400</v>
      </c>
      <c r="DI23" s="13">
        <v>6</v>
      </c>
      <c r="DJ23" s="14">
        <f t="shared" si="12"/>
        <v>0.24</v>
      </c>
      <c r="DK23" s="13"/>
      <c r="DL23" s="14"/>
      <c r="DM23" s="41"/>
    </row>
    <row r="24" spans="2:117" ht="15.75" x14ac:dyDescent="0.25">
      <c r="B24" s="13">
        <v>4</v>
      </c>
      <c r="C24" s="13">
        <v>10</v>
      </c>
      <c r="D24" s="13">
        <v>400</v>
      </c>
      <c r="E24" s="13">
        <v>239</v>
      </c>
      <c r="F24" s="14">
        <f t="shared" si="0"/>
        <v>3.8239999999999998</v>
      </c>
      <c r="G24" s="13">
        <f>SUM(E24)</f>
        <v>239</v>
      </c>
      <c r="H24" s="14">
        <f>SUM(F24)</f>
        <v>3.8239999999999998</v>
      </c>
      <c r="I24" s="13"/>
      <c r="K24" s="13">
        <v>8</v>
      </c>
      <c r="L24" s="13">
        <v>30</v>
      </c>
      <c r="M24" s="13">
        <v>400</v>
      </c>
      <c r="N24" s="13">
        <v>2</v>
      </c>
      <c r="O24" s="14">
        <f t="shared" si="1"/>
        <v>0.192</v>
      </c>
      <c r="P24" s="13"/>
      <c r="Q24" s="14"/>
      <c r="R24" s="13"/>
      <c r="T24" s="13">
        <v>8</v>
      </c>
      <c r="U24" s="13">
        <v>25</v>
      </c>
      <c r="V24" s="13">
        <v>400</v>
      </c>
      <c r="W24" s="13">
        <v>5</v>
      </c>
      <c r="X24" s="14">
        <f t="shared" si="2"/>
        <v>0.4</v>
      </c>
      <c r="Y24" s="13"/>
      <c r="Z24" s="14"/>
      <c r="AA24" s="13"/>
      <c r="AC24" s="13">
        <v>7</v>
      </c>
      <c r="AD24" s="13">
        <v>28</v>
      </c>
      <c r="AE24" s="13">
        <v>400</v>
      </c>
      <c r="AF24" s="13">
        <v>1</v>
      </c>
      <c r="AG24" s="14">
        <f t="shared" si="3"/>
        <v>7.8399999999999997E-2</v>
      </c>
      <c r="AH24" s="13"/>
      <c r="AI24" s="14"/>
      <c r="AJ24" s="13"/>
      <c r="AL24" s="13">
        <v>15</v>
      </c>
      <c r="AM24" s="13">
        <v>25</v>
      </c>
      <c r="AN24" s="13">
        <v>400</v>
      </c>
      <c r="AO24" s="13">
        <v>2</v>
      </c>
      <c r="AP24" s="14">
        <f t="shared" si="13"/>
        <v>0.3</v>
      </c>
      <c r="AQ24" s="13"/>
      <c r="AR24" s="14"/>
      <c r="AS24" s="13"/>
      <c r="AU24" s="13">
        <v>7</v>
      </c>
      <c r="AV24" s="13">
        <v>20</v>
      </c>
      <c r="AW24" s="13">
        <v>400</v>
      </c>
      <c r="AX24" s="13">
        <v>3</v>
      </c>
      <c r="AY24" s="14">
        <f t="shared" si="5"/>
        <v>0.16800000000000001</v>
      </c>
      <c r="AZ24" s="13"/>
      <c r="BA24" s="14"/>
      <c r="BB24" s="13"/>
      <c r="BD24" s="13">
        <v>15</v>
      </c>
      <c r="BE24" s="13">
        <v>15</v>
      </c>
      <c r="BF24" s="13">
        <v>400</v>
      </c>
      <c r="BG24" s="13">
        <v>4</v>
      </c>
      <c r="BH24" s="14">
        <f t="shared" si="6"/>
        <v>0.36</v>
      </c>
      <c r="BI24" s="13"/>
      <c r="BJ24" s="14"/>
      <c r="BK24" s="13"/>
      <c r="BM24" s="13">
        <v>3.5</v>
      </c>
      <c r="BN24" s="13">
        <v>10</v>
      </c>
      <c r="BO24" s="13">
        <v>400</v>
      </c>
      <c r="BP24" s="13">
        <v>12</v>
      </c>
      <c r="BQ24" s="14">
        <f t="shared" si="7"/>
        <v>0.16800000000000001</v>
      </c>
      <c r="BR24" s="13"/>
      <c r="BS24" s="14"/>
      <c r="BT24" s="13"/>
      <c r="BV24" s="13">
        <v>15</v>
      </c>
      <c r="BW24" s="13">
        <v>15</v>
      </c>
      <c r="BX24" s="13">
        <v>400</v>
      </c>
      <c r="BY24" s="13">
        <v>3</v>
      </c>
      <c r="BZ24" s="14">
        <f t="shared" si="8"/>
        <v>0.27</v>
      </c>
      <c r="CA24" s="13"/>
      <c r="CB24" s="14"/>
      <c r="CC24" s="13"/>
      <c r="CE24" s="13">
        <v>3</v>
      </c>
      <c r="CF24" s="13">
        <v>15</v>
      </c>
      <c r="CG24" s="13">
        <v>400</v>
      </c>
      <c r="CH24" s="13">
        <v>2</v>
      </c>
      <c r="CI24" s="14">
        <f t="shared" si="9"/>
        <v>3.5999999999999997E-2</v>
      </c>
      <c r="CJ24" s="13"/>
      <c r="CK24" s="14"/>
      <c r="CL24" s="41"/>
      <c r="CN24" s="13">
        <v>4.5</v>
      </c>
      <c r="CO24" s="13">
        <v>28</v>
      </c>
      <c r="CP24" s="13">
        <v>400</v>
      </c>
      <c r="CQ24" s="13">
        <v>2</v>
      </c>
      <c r="CR24" s="14">
        <f t="shared" si="10"/>
        <v>0.1008</v>
      </c>
      <c r="CS24" s="13"/>
      <c r="CT24" s="14"/>
      <c r="CU24" s="41"/>
      <c r="CW24" s="13">
        <v>7</v>
      </c>
      <c r="CX24" s="13">
        <v>10</v>
      </c>
      <c r="CY24" s="13">
        <v>400</v>
      </c>
      <c r="CZ24" s="13">
        <v>4</v>
      </c>
      <c r="DA24" s="14">
        <f t="shared" si="11"/>
        <v>0.112</v>
      </c>
      <c r="DB24" s="13"/>
      <c r="DC24" s="14"/>
      <c r="DD24" s="41"/>
      <c r="DF24" s="13">
        <v>4.5</v>
      </c>
      <c r="DG24" s="13">
        <v>25</v>
      </c>
      <c r="DH24" s="13">
        <v>400</v>
      </c>
      <c r="DI24" s="13">
        <v>2</v>
      </c>
      <c r="DJ24" s="14">
        <f t="shared" si="12"/>
        <v>0.09</v>
      </c>
      <c r="DK24" s="13"/>
      <c r="DL24" s="14"/>
      <c r="DM24" s="41"/>
    </row>
    <row r="25" spans="2:117" ht="15.75" x14ac:dyDescent="0.25">
      <c r="B25" s="108">
        <v>4</v>
      </c>
      <c r="C25" s="108">
        <v>7</v>
      </c>
      <c r="D25" s="108">
        <v>400</v>
      </c>
      <c r="E25" s="108">
        <v>132</v>
      </c>
      <c r="F25" s="109">
        <f t="shared" si="0"/>
        <v>1.4783999999999999</v>
      </c>
      <c r="G25" s="108"/>
      <c r="H25" s="109"/>
      <c r="I25" s="108"/>
      <c r="K25" s="13">
        <v>8</v>
      </c>
      <c r="L25" s="13">
        <v>28</v>
      </c>
      <c r="M25" s="13">
        <v>400</v>
      </c>
      <c r="N25" s="13">
        <v>2</v>
      </c>
      <c r="O25" s="14">
        <f t="shared" si="1"/>
        <v>0.1792</v>
      </c>
      <c r="P25" s="13"/>
      <c r="Q25" s="14"/>
      <c r="R25" s="13"/>
      <c r="T25" s="13">
        <v>8</v>
      </c>
      <c r="U25" s="13">
        <v>20</v>
      </c>
      <c r="V25" s="13">
        <v>400</v>
      </c>
      <c r="W25" s="13">
        <v>10</v>
      </c>
      <c r="X25" s="14">
        <f t="shared" si="2"/>
        <v>0.64</v>
      </c>
      <c r="Y25" s="13"/>
      <c r="Z25" s="14"/>
      <c r="AA25" s="13"/>
      <c r="AC25" s="13">
        <v>7</v>
      </c>
      <c r="AD25" s="13">
        <v>25</v>
      </c>
      <c r="AE25" s="13">
        <v>400</v>
      </c>
      <c r="AF25" s="13">
        <v>4</v>
      </c>
      <c r="AG25" s="14">
        <f t="shared" si="3"/>
        <v>0.28000000000000003</v>
      </c>
      <c r="AH25" s="13"/>
      <c r="AI25" s="14"/>
      <c r="AJ25" s="13"/>
      <c r="AL25" s="13">
        <v>15</v>
      </c>
      <c r="AM25" s="13">
        <v>23</v>
      </c>
      <c r="AN25" s="13">
        <v>400</v>
      </c>
      <c r="AO25" s="13">
        <v>1</v>
      </c>
      <c r="AP25" s="14">
        <f t="shared" si="13"/>
        <v>0.13800000000000001</v>
      </c>
      <c r="AQ25" s="13"/>
      <c r="AR25" s="14"/>
      <c r="AS25" s="13"/>
      <c r="AU25" s="13">
        <v>12</v>
      </c>
      <c r="AV25" s="13">
        <v>20</v>
      </c>
      <c r="AW25" s="13">
        <v>400</v>
      </c>
      <c r="AX25" s="13">
        <v>1</v>
      </c>
      <c r="AY25" s="14">
        <f t="shared" si="5"/>
        <v>9.6000000000000002E-2</v>
      </c>
      <c r="AZ25" s="13"/>
      <c r="BA25" s="14"/>
      <c r="BB25" s="13"/>
      <c r="BD25" s="13">
        <v>6</v>
      </c>
      <c r="BE25" s="13">
        <v>15</v>
      </c>
      <c r="BF25" s="13">
        <v>400</v>
      </c>
      <c r="BG25" s="13">
        <v>4</v>
      </c>
      <c r="BH25" s="14">
        <f t="shared" si="6"/>
        <v>0.14399999999999999</v>
      </c>
      <c r="BI25" s="13"/>
      <c r="BJ25" s="14"/>
      <c r="BK25" s="13"/>
      <c r="BM25" s="13">
        <v>2.2000000000000002</v>
      </c>
      <c r="BN25" s="13">
        <v>10</v>
      </c>
      <c r="BO25" s="13">
        <v>400</v>
      </c>
      <c r="BP25" s="13">
        <v>21</v>
      </c>
      <c r="BQ25" s="14">
        <f t="shared" si="7"/>
        <v>0.18479999999999999</v>
      </c>
      <c r="BR25" s="13"/>
      <c r="BS25" s="14"/>
      <c r="BT25" s="13"/>
      <c r="BV25" s="13">
        <v>13</v>
      </c>
      <c r="BW25" s="13">
        <v>20</v>
      </c>
      <c r="BX25" s="13">
        <v>400</v>
      </c>
      <c r="BY25" s="13">
        <v>2</v>
      </c>
      <c r="BZ25" s="14">
        <f t="shared" si="8"/>
        <v>0.20799999999999999</v>
      </c>
      <c r="CA25" s="13"/>
      <c r="CB25" s="14"/>
      <c r="CC25" s="13"/>
      <c r="CE25" s="13">
        <v>4</v>
      </c>
      <c r="CF25" s="13">
        <v>15</v>
      </c>
      <c r="CG25" s="13">
        <v>400</v>
      </c>
      <c r="CH25" s="13">
        <v>4</v>
      </c>
      <c r="CI25" s="14">
        <f t="shared" si="9"/>
        <v>9.6000000000000002E-2</v>
      </c>
      <c r="CJ25" s="13"/>
      <c r="CK25" s="14"/>
      <c r="CL25" s="41"/>
      <c r="CN25" s="13">
        <v>7</v>
      </c>
      <c r="CO25" s="13">
        <v>25</v>
      </c>
      <c r="CP25" s="13">
        <v>400</v>
      </c>
      <c r="CQ25" s="13">
        <v>2</v>
      </c>
      <c r="CR25" s="14">
        <f t="shared" si="10"/>
        <v>0.14000000000000001</v>
      </c>
      <c r="CS25" s="13"/>
      <c r="CT25" s="14"/>
      <c r="CU25" s="41"/>
      <c r="CW25" s="13">
        <v>4.5</v>
      </c>
      <c r="CX25" s="13">
        <v>10</v>
      </c>
      <c r="CY25" s="13">
        <v>400</v>
      </c>
      <c r="CZ25" s="13">
        <v>103</v>
      </c>
      <c r="DA25" s="14">
        <f t="shared" si="11"/>
        <v>1.8540000000000001</v>
      </c>
      <c r="DB25" s="13"/>
      <c r="DC25" s="14"/>
      <c r="DD25" s="41"/>
      <c r="DF25" s="13">
        <v>15</v>
      </c>
      <c r="DG25" s="13">
        <v>30</v>
      </c>
      <c r="DH25" s="13">
        <v>400</v>
      </c>
      <c r="DI25" s="13">
        <v>1</v>
      </c>
      <c r="DJ25" s="14">
        <f t="shared" si="12"/>
        <v>0.18</v>
      </c>
      <c r="DK25" s="13"/>
      <c r="DL25" s="14"/>
      <c r="DM25" s="41"/>
    </row>
    <row r="26" spans="2:117" ht="15.75" x14ac:dyDescent="0.25">
      <c r="B26" s="108">
        <v>3</v>
      </c>
      <c r="C26" s="108">
        <v>7</v>
      </c>
      <c r="D26" s="108">
        <v>400</v>
      </c>
      <c r="E26" s="110">
        <v>58</v>
      </c>
      <c r="F26" s="111">
        <f t="shared" si="0"/>
        <v>0.48720000000000002</v>
      </c>
      <c r="G26" s="110">
        <f>SUM(E25:E26)</f>
        <v>190</v>
      </c>
      <c r="H26" s="111">
        <f>SUM(F25:F26)</f>
        <v>1.9656</v>
      </c>
      <c r="I26" s="110"/>
      <c r="K26" s="13">
        <v>8</v>
      </c>
      <c r="L26" s="13">
        <v>25</v>
      </c>
      <c r="M26" s="13">
        <v>400</v>
      </c>
      <c r="N26" s="13">
        <v>5</v>
      </c>
      <c r="O26" s="14">
        <f t="shared" si="1"/>
        <v>0.4</v>
      </c>
      <c r="P26" s="13"/>
      <c r="Q26" s="14"/>
      <c r="R26" s="13"/>
      <c r="T26" s="13">
        <v>8</v>
      </c>
      <c r="U26" s="13">
        <v>15</v>
      </c>
      <c r="V26" s="13">
        <v>400</v>
      </c>
      <c r="W26" s="13">
        <v>6</v>
      </c>
      <c r="X26" s="14">
        <f t="shared" si="2"/>
        <v>0.28799999999999998</v>
      </c>
      <c r="Y26" s="13"/>
      <c r="Z26" s="14"/>
      <c r="AA26" s="13"/>
      <c r="AC26" s="13">
        <v>7</v>
      </c>
      <c r="AD26" s="13">
        <v>23</v>
      </c>
      <c r="AE26" s="13">
        <v>400</v>
      </c>
      <c r="AF26" s="13">
        <v>2</v>
      </c>
      <c r="AG26" s="14">
        <f t="shared" si="3"/>
        <v>0.1288</v>
      </c>
      <c r="AH26" s="13"/>
      <c r="AI26" s="14"/>
      <c r="AJ26" s="13"/>
      <c r="AL26" s="13">
        <v>15</v>
      </c>
      <c r="AM26" s="13">
        <v>20</v>
      </c>
      <c r="AN26" s="13">
        <v>400</v>
      </c>
      <c r="AO26" s="13">
        <v>2</v>
      </c>
      <c r="AP26" s="14">
        <f t="shared" si="13"/>
        <v>0.24</v>
      </c>
      <c r="AQ26" s="13"/>
      <c r="AR26" s="14"/>
      <c r="AS26" s="13"/>
      <c r="AU26" s="13">
        <v>15</v>
      </c>
      <c r="AV26" s="13">
        <v>20</v>
      </c>
      <c r="AW26" s="13">
        <v>400</v>
      </c>
      <c r="AX26" s="13">
        <v>2</v>
      </c>
      <c r="AY26" s="14">
        <f t="shared" si="5"/>
        <v>0.24</v>
      </c>
      <c r="AZ26" s="13"/>
      <c r="BA26" s="14"/>
      <c r="BB26" s="13"/>
      <c r="BD26" s="13">
        <v>10</v>
      </c>
      <c r="BE26" s="13">
        <v>15</v>
      </c>
      <c r="BF26" s="13">
        <v>400</v>
      </c>
      <c r="BG26" s="13">
        <v>5</v>
      </c>
      <c r="BH26" s="14">
        <f t="shared" si="6"/>
        <v>0.3</v>
      </c>
      <c r="BI26" s="13"/>
      <c r="BJ26" s="14"/>
      <c r="BK26" s="13"/>
      <c r="BM26" s="13">
        <v>1.7</v>
      </c>
      <c r="BN26" s="13">
        <v>10</v>
      </c>
      <c r="BO26" s="13">
        <v>400</v>
      </c>
      <c r="BP26" s="13">
        <v>4</v>
      </c>
      <c r="BQ26" s="14">
        <f t="shared" si="7"/>
        <v>2.7199999999999998E-2</v>
      </c>
      <c r="BR26" s="13"/>
      <c r="BS26" s="14"/>
      <c r="BT26" s="13"/>
      <c r="BV26" s="13">
        <v>10</v>
      </c>
      <c r="BW26" s="13">
        <v>20</v>
      </c>
      <c r="BX26" s="13">
        <v>400</v>
      </c>
      <c r="BY26" s="13">
        <v>8</v>
      </c>
      <c r="BZ26" s="14">
        <f t="shared" si="8"/>
        <v>0.64</v>
      </c>
      <c r="CA26" s="13"/>
      <c r="CB26" s="14"/>
      <c r="CC26" s="13"/>
      <c r="CE26" s="13">
        <v>8</v>
      </c>
      <c r="CF26" s="13">
        <v>15</v>
      </c>
      <c r="CG26" s="13">
        <v>400</v>
      </c>
      <c r="CH26" s="13">
        <v>1</v>
      </c>
      <c r="CI26" s="14">
        <f t="shared" si="9"/>
        <v>4.8000000000000001E-2</v>
      </c>
      <c r="CJ26" s="13"/>
      <c r="CK26" s="14"/>
      <c r="CL26" s="41"/>
      <c r="CN26" s="13">
        <v>13</v>
      </c>
      <c r="CO26" s="13">
        <v>25</v>
      </c>
      <c r="CP26" s="13">
        <v>400</v>
      </c>
      <c r="CQ26" s="13">
        <v>3</v>
      </c>
      <c r="CR26" s="14">
        <f t="shared" si="10"/>
        <v>0.39</v>
      </c>
      <c r="CS26" s="13"/>
      <c r="CT26" s="14"/>
      <c r="CU26" s="41"/>
      <c r="CW26" s="13">
        <v>2.2000000000000002</v>
      </c>
      <c r="CX26" s="13">
        <v>10</v>
      </c>
      <c r="CY26" s="13">
        <v>400</v>
      </c>
      <c r="CZ26" s="13">
        <v>59</v>
      </c>
      <c r="DA26" s="14">
        <f t="shared" si="11"/>
        <v>0.51919999999999999</v>
      </c>
      <c r="DB26" s="13"/>
      <c r="DC26" s="14"/>
      <c r="DD26" s="41"/>
      <c r="DF26" s="13">
        <v>10</v>
      </c>
      <c r="DG26" s="13">
        <v>20</v>
      </c>
      <c r="DH26" s="13">
        <v>400</v>
      </c>
      <c r="DI26" s="13">
        <v>9</v>
      </c>
      <c r="DJ26" s="14">
        <f t="shared" si="12"/>
        <v>0.72</v>
      </c>
      <c r="DK26" s="13"/>
      <c r="DL26" s="14"/>
      <c r="DM26" s="41"/>
    </row>
    <row r="27" spans="2:117" ht="16.5" thickBot="1" x14ac:dyDescent="0.3">
      <c r="E27" s="17">
        <f>SUM(E8:E26)</f>
        <v>555</v>
      </c>
      <c r="F27" s="18">
        <f>SUM(F8:F26)</f>
        <v>11.118399999999999</v>
      </c>
      <c r="G27" s="17">
        <f>SUM(G8:G26)</f>
        <v>555</v>
      </c>
      <c r="H27" s="18">
        <f>SUM(H8:H26)</f>
        <v>11.118399999999999</v>
      </c>
      <c r="I27" s="17"/>
      <c r="K27" s="13">
        <v>8</v>
      </c>
      <c r="L27" s="13">
        <v>25</v>
      </c>
      <c r="M27" s="13">
        <v>400</v>
      </c>
      <c r="N27" s="13">
        <v>1</v>
      </c>
      <c r="O27" s="14">
        <f t="shared" si="1"/>
        <v>0.08</v>
      </c>
      <c r="P27" s="13"/>
      <c r="Q27" s="14"/>
      <c r="R27" s="13"/>
      <c r="T27" s="13">
        <v>8</v>
      </c>
      <c r="U27" s="13">
        <v>13</v>
      </c>
      <c r="V27" s="13">
        <v>400</v>
      </c>
      <c r="W27" s="13">
        <v>3</v>
      </c>
      <c r="X27" s="14">
        <f t="shared" si="2"/>
        <v>0.12479999999999999</v>
      </c>
      <c r="Y27" s="13">
        <f>SUM(W23:W27)</f>
        <v>25</v>
      </c>
      <c r="Z27" s="14">
        <f>SUM(X23:X27)</f>
        <v>1.5488000000000002</v>
      </c>
      <c r="AA27" s="13"/>
      <c r="AC27" s="13">
        <v>7</v>
      </c>
      <c r="AD27" s="13">
        <v>20</v>
      </c>
      <c r="AE27" s="13">
        <v>400</v>
      </c>
      <c r="AF27" s="13">
        <v>1</v>
      </c>
      <c r="AG27" s="14">
        <f t="shared" si="3"/>
        <v>5.6000000000000001E-2</v>
      </c>
      <c r="AH27" s="13"/>
      <c r="AI27" s="14"/>
      <c r="AJ27" s="13"/>
      <c r="AL27" s="13">
        <v>15</v>
      </c>
      <c r="AM27" s="13">
        <v>15</v>
      </c>
      <c r="AN27" s="13">
        <v>400</v>
      </c>
      <c r="AO27" s="13">
        <v>2</v>
      </c>
      <c r="AP27" s="14">
        <f t="shared" si="13"/>
        <v>0.18</v>
      </c>
      <c r="AQ27" s="13">
        <f>SUM(AO23:AO27)</f>
        <v>9</v>
      </c>
      <c r="AR27" s="14">
        <f>SUM(AP23:AP27)</f>
        <v>1.2179999999999997</v>
      </c>
      <c r="AS27" s="13"/>
      <c r="AU27" s="13">
        <v>2</v>
      </c>
      <c r="AV27" s="13">
        <v>20</v>
      </c>
      <c r="AW27" s="13">
        <v>400</v>
      </c>
      <c r="AX27" s="13">
        <v>1</v>
      </c>
      <c r="AY27" s="14">
        <f t="shared" si="5"/>
        <v>1.6E-2</v>
      </c>
      <c r="AZ27" s="13"/>
      <c r="BA27" s="14"/>
      <c r="BB27" s="13"/>
      <c r="BD27" s="13">
        <v>12</v>
      </c>
      <c r="BE27" s="13">
        <v>15</v>
      </c>
      <c r="BF27" s="13">
        <v>400</v>
      </c>
      <c r="BG27" s="13">
        <v>10</v>
      </c>
      <c r="BH27" s="14">
        <f t="shared" si="6"/>
        <v>0.72</v>
      </c>
      <c r="BI27" s="13"/>
      <c r="BJ27" s="14"/>
      <c r="BK27" s="13"/>
      <c r="BM27" s="13">
        <v>8</v>
      </c>
      <c r="BN27" s="13">
        <v>20</v>
      </c>
      <c r="BO27" s="13">
        <v>400</v>
      </c>
      <c r="BP27" s="13">
        <v>1</v>
      </c>
      <c r="BQ27" s="14">
        <f t="shared" si="7"/>
        <v>6.4000000000000001E-2</v>
      </c>
      <c r="BR27" s="13"/>
      <c r="BS27" s="14"/>
      <c r="BT27" s="13"/>
      <c r="BV27" s="13">
        <v>10</v>
      </c>
      <c r="BW27" s="13">
        <v>25</v>
      </c>
      <c r="BX27" s="13">
        <v>400</v>
      </c>
      <c r="BY27" s="13">
        <v>13</v>
      </c>
      <c r="BZ27" s="14">
        <f t="shared" si="8"/>
        <v>1.3</v>
      </c>
      <c r="CA27" s="13"/>
      <c r="CB27" s="14"/>
      <c r="CC27" s="13"/>
      <c r="CE27" s="13">
        <v>10</v>
      </c>
      <c r="CF27" s="13">
        <v>12</v>
      </c>
      <c r="CG27" s="13">
        <v>400</v>
      </c>
      <c r="CH27" s="13">
        <v>2</v>
      </c>
      <c r="CI27" s="14">
        <f t="shared" si="9"/>
        <v>9.6000000000000002E-2</v>
      </c>
      <c r="CJ27" s="13"/>
      <c r="CK27" s="14"/>
      <c r="CL27" s="41"/>
      <c r="CN27" s="13">
        <v>4.5</v>
      </c>
      <c r="CO27" s="13">
        <v>25</v>
      </c>
      <c r="CP27" s="13">
        <v>400</v>
      </c>
      <c r="CQ27" s="13">
        <v>1</v>
      </c>
      <c r="CR27" s="14">
        <f t="shared" si="10"/>
        <v>4.4999999999999998E-2</v>
      </c>
      <c r="CS27" s="13"/>
      <c r="CT27" s="14"/>
      <c r="CU27" s="41"/>
      <c r="CW27" s="13">
        <v>3.5</v>
      </c>
      <c r="CX27" s="13">
        <v>10</v>
      </c>
      <c r="CY27" s="13">
        <v>400</v>
      </c>
      <c r="CZ27" s="13">
        <v>8</v>
      </c>
      <c r="DA27" s="14">
        <f t="shared" si="11"/>
        <v>0.112</v>
      </c>
      <c r="DB27" s="13"/>
      <c r="DC27" s="14"/>
      <c r="DD27" s="41"/>
      <c r="DF27" s="13">
        <v>4.5</v>
      </c>
      <c r="DG27" s="13">
        <v>20</v>
      </c>
      <c r="DH27" s="13">
        <v>400</v>
      </c>
      <c r="DI27" s="13">
        <v>6</v>
      </c>
      <c r="DJ27" s="14">
        <f t="shared" si="12"/>
        <v>0.216</v>
      </c>
      <c r="DK27" s="13"/>
      <c r="DL27" s="14"/>
      <c r="DM27" s="41"/>
    </row>
    <row r="28" spans="2:117" ht="16.5" thickTop="1" x14ac:dyDescent="0.25">
      <c r="K28" s="13">
        <v>8</v>
      </c>
      <c r="L28" s="13">
        <v>23</v>
      </c>
      <c r="M28" s="13">
        <v>400</v>
      </c>
      <c r="N28" s="13">
        <v>4</v>
      </c>
      <c r="O28" s="14">
        <f t="shared" si="1"/>
        <v>0.2944</v>
      </c>
      <c r="P28" s="13"/>
      <c r="Q28" s="14"/>
      <c r="R28" s="13"/>
      <c r="T28" s="13">
        <v>5</v>
      </c>
      <c r="U28" s="13">
        <v>25</v>
      </c>
      <c r="V28" s="13">
        <v>400</v>
      </c>
      <c r="W28" s="13">
        <v>1</v>
      </c>
      <c r="X28" s="14">
        <f t="shared" si="2"/>
        <v>0.05</v>
      </c>
      <c r="Y28" s="13"/>
      <c r="Z28" s="14"/>
      <c r="AA28" s="13"/>
      <c r="AC28" s="13">
        <v>7</v>
      </c>
      <c r="AD28" s="13">
        <v>18</v>
      </c>
      <c r="AE28" s="13">
        <v>400</v>
      </c>
      <c r="AF28" s="13">
        <v>3</v>
      </c>
      <c r="AG28" s="14">
        <f t="shared" si="3"/>
        <v>0.1512</v>
      </c>
      <c r="AH28" s="13"/>
      <c r="AI28" s="14"/>
      <c r="AJ28" s="13"/>
      <c r="AL28" s="13">
        <v>13</v>
      </c>
      <c r="AM28" s="13">
        <v>33</v>
      </c>
      <c r="AN28" s="13">
        <v>400</v>
      </c>
      <c r="AO28" s="13">
        <v>1</v>
      </c>
      <c r="AP28" s="14">
        <f t="shared" si="13"/>
        <v>0.1716</v>
      </c>
      <c r="AQ28" s="13"/>
      <c r="AR28" s="14"/>
      <c r="AS28" s="13"/>
      <c r="AU28" s="13">
        <v>8</v>
      </c>
      <c r="AV28" s="13">
        <v>20</v>
      </c>
      <c r="AW28" s="13">
        <v>400</v>
      </c>
      <c r="AX28" s="13">
        <v>1</v>
      </c>
      <c r="AY28" s="14">
        <f t="shared" si="5"/>
        <v>6.4000000000000001E-2</v>
      </c>
      <c r="AZ28" s="13"/>
      <c r="BA28" s="14"/>
      <c r="BB28" s="13"/>
      <c r="BD28" s="13">
        <v>10</v>
      </c>
      <c r="BE28" s="13">
        <v>20</v>
      </c>
      <c r="BF28" s="13">
        <v>400</v>
      </c>
      <c r="BG28" s="13">
        <v>1</v>
      </c>
      <c r="BH28" s="14">
        <f t="shared" si="6"/>
        <v>0.08</v>
      </c>
      <c r="BI28" s="13"/>
      <c r="BJ28" s="14"/>
      <c r="BK28" s="13"/>
      <c r="BM28" s="13">
        <v>7</v>
      </c>
      <c r="BN28" s="13">
        <v>13</v>
      </c>
      <c r="BO28" s="13">
        <v>400</v>
      </c>
      <c r="BP28" s="13">
        <v>2</v>
      </c>
      <c r="BQ28" s="14">
        <f t="shared" si="7"/>
        <v>7.2800000000000004E-2</v>
      </c>
      <c r="BR28" s="13"/>
      <c r="BS28" s="14"/>
      <c r="BT28" s="13"/>
      <c r="BV28" s="13">
        <v>13</v>
      </c>
      <c r="BW28" s="13">
        <v>25</v>
      </c>
      <c r="BX28" s="13">
        <v>400</v>
      </c>
      <c r="BY28" s="13">
        <v>7</v>
      </c>
      <c r="BZ28" s="14">
        <f t="shared" si="8"/>
        <v>0.91</v>
      </c>
      <c r="CA28" s="13"/>
      <c r="CB28" s="14"/>
      <c r="CC28" s="13"/>
      <c r="CE28" s="13">
        <v>4</v>
      </c>
      <c r="CF28" s="13">
        <v>12</v>
      </c>
      <c r="CG28" s="13">
        <v>400</v>
      </c>
      <c r="CH28" s="13">
        <v>2</v>
      </c>
      <c r="CI28" s="14">
        <f t="shared" si="9"/>
        <v>3.8399999999999997E-2</v>
      </c>
      <c r="CJ28" s="13"/>
      <c r="CK28" s="14"/>
      <c r="CL28" s="41"/>
      <c r="CN28" s="13">
        <v>3.5</v>
      </c>
      <c r="CO28" s="13">
        <v>20</v>
      </c>
      <c r="CP28" s="13">
        <v>400</v>
      </c>
      <c r="CQ28" s="13">
        <v>1</v>
      </c>
      <c r="CR28" s="14">
        <f t="shared" si="10"/>
        <v>2.8000000000000001E-2</v>
      </c>
      <c r="CS28" s="13"/>
      <c r="CT28" s="14"/>
      <c r="CU28" s="41"/>
      <c r="CW28" s="13">
        <v>13</v>
      </c>
      <c r="CX28" s="13">
        <v>28</v>
      </c>
      <c r="CY28" s="13">
        <v>400</v>
      </c>
      <c r="CZ28" s="13">
        <v>2</v>
      </c>
      <c r="DA28" s="14">
        <f t="shared" si="11"/>
        <v>0.29120000000000001</v>
      </c>
      <c r="DB28" s="13"/>
      <c r="DC28" s="14"/>
      <c r="DD28" s="41"/>
      <c r="DF28" s="13">
        <v>10</v>
      </c>
      <c r="DG28" s="13">
        <v>25</v>
      </c>
      <c r="DH28" s="13">
        <v>400</v>
      </c>
      <c r="DI28" s="13">
        <v>5</v>
      </c>
      <c r="DJ28" s="14">
        <f t="shared" si="12"/>
        <v>0.5</v>
      </c>
      <c r="DK28" s="13"/>
      <c r="DL28" s="14"/>
      <c r="DM28" s="41"/>
    </row>
    <row r="29" spans="2:117" ht="15.75" x14ac:dyDescent="0.25">
      <c r="B29" s="231" t="s">
        <v>19</v>
      </c>
      <c r="C29" s="231"/>
      <c r="D29" s="231"/>
      <c r="E29" s="231"/>
      <c r="F29" s="231"/>
      <c r="G29" s="231"/>
      <c r="H29" s="231"/>
      <c r="I29" s="231"/>
      <c r="K29" s="13">
        <v>8</v>
      </c>
      <c r="L29" s="13">
        <v>20</v>
      </c>
      <c r="M29" s="13">
        <v>400</v>
      </c>
      <c r="N29" s="13">
        <v>5</v>
      </c>
      <c r="O29" s="14">
        <f t="shared" si="1"/>
        <v>0.32</v>
      </c>
      <c r="P29" s="13"/>
      <c r="Q29" s="14"/>
      <c r="R29" s="13"/>
      <c r="T29" s="13">
        <v>5</v>
      </c>
      <c r="U29" s="13">
        <v>15</v>
      </c>
      <c r="V29" s="13">
        <v>400</v>
      </c>
      <c r="W29" s="13">
        <v>8</v>
      </c>
      <c r="X29" s="14">
        <f t="shared" si="2"/>
        <v>0.24</v>
      </c>
      <c r="Y29" s="13"/>
      <c r="Z29" s="14"/>
      <c r="AA29" s="13"/>
      <c r="AC29" s="13">
        <v>7</v>
      </c>
      <c r="AD29" s="13">
        <v>15</v>
      </c>
      <c r="AE29" s="13">
        <v>400</v>
      </c>
      <c r="AF29" s="13">
        <v>12</v>
      </c>
      <c r="AG29" s="14">
        <f t="shared" si="3"/>
        <v>0.504</v>
      </c>
      <c r="AH29" s="13"/>
      <c r="AI29" s="14"/>
      <c r="AJ29" s="13"/>
      <c r="AL29" s="13">
        <v>13</v>
      </c>
      <c r="AM29" s="13">
        <v>30</v>
      </c>
      <c r="AN29" s="13">
        <v>400</v>
      </c>
      <c r="AO29" s="13">
        <v>3</v>
      </c>
      <c r="AP29" s="14">
        <f t="shared" si="13"/>
        <v>0.46800000000000003</v>
      </c>
      <c r="AQ29" s="13"/>
      <c r="AR29" s="14"/>
      <c r="AS29" s="13"/>
      <c r="AU29" s="13">
        <v>2</v>
      </c>
      <c r="AV29" s="13">
        <v>25</v>
      </c>
      <c r="AW29" s="13">
        <v>400</v>
      </c>
      <c r="AX29" s="13">
        <v>1</v>
      </c>
      <c r="AY29" s="14">
        <f t="shared" si="5"/>
        <v>0.02</v>
      </c>
      <c r="AZ29" s="13"/>
      <c r="BA29" s="14"/>
      <c r="BB29" s="13"/>
      <c r="BD29" s="13">
        <v>12</v>
      </c>
      <c r="BE29" s="13">
        <v>20</v>
      </c>
      <c r="BF29" s="13">
        <v>400</v>
      </c>
      <c r="BG29" s="13">
        <v>1</v>
      </c>
      <c r="BH29" s="14">
        <f t="shared" si="6"/>
        <v>9.6000000000000002E-2</v>
      </c>
      <c r="BI29" s="13"/>
      <c r="BJ29" s="14"/>
      <c r="BK29" s="13"/>
      <c r="BM29" s="13">
        <v>10</v>
      </c>
      <c r="BN29" s="13">
        <v>10</v>
      </c>
      <c r="BO29" s="13">
        <v>400</v>
      </c>
      <c r="BP29" s="13">
        <v>8</v>
      </c>
      <c r="BQ29" s="14">
        <f t="shared" si="7"/>
        <v>0.32</v>
      </c>
      <c r="BR29" s="13"/>
      <c r="BS29" s="14"/>
      <c r="BT29" s="13"/>
      <c r="BV29" s="13">
        <v>8</v>
      </c>
      <c r="BW29" s="13">
        <v>25</v>
      </c>
      <c r="BX29" s="13">
        <v>400</v>
      </c>
      <c r="BY29" s="13">
        <v>2</v>
      </c>
      <c r="BZ29" s="14">
        <f t="shared" si="8"/>
        <v>0.16</v>
      </c>
      <c r="CA29" s="13"/>
      <c r="CB29" s="14"/>
      <c r="CC29" s="13"/>
      <c r="CE29" s="13">
        <v>5</v>
      </c>
      <c r="CF29" s="13">
        <v>12</v>
      </c>
      <c r="CG29" s="13">
        <v>400</v>
      </c>
      <c r="CH29" s="13">
        <v>1</v>
      </c>
      <c r="CI29" s="14">
        <f t="shared" si="9"/>
        <v>2.4E-2</v>
      </c>
      <c r="CJ29" s="13"/>
      <c r="CK29" s="14"/>
      <c r="CL29" s="41"/>
      <c r="CN29" s="13">
        <v>15</v>
      </c>
      <c r="CO29" s="13">
        <v>20</v>
      </c>
      <c r="CP29" s="13">
        <v>400</v>
      </c>
      <c r="CQ29" s="13">
        <v>3</v>
      </c>
      <c r="CR29" s="14">
        <f t="shared" si="10"/>
        <v>0.36</v>
      </c>
      <c r="CS29" s="13"/>
      <c r="CT29" s="14"/>
      <c r="CU29" s="41"/>
      <c r="CW29" s="13">
        <v>7</v>
      </c>
      <c r="CX29" s="13">
        <v>25</v>
      </c>
      <c r="CY29" s="13">
        <v>400</v>
      </c>
      <c r="CZ29" s="13">
        <v>1</v>
      </c>
      <c r="DA29" s="14">
        <f t="shared" si="11"/>
        <v>7.0000000000000007E-2</v>
      </c>
      <c r="DB29" s="13"/>
      <c r="DC29" s="14"/>
      <c r="DD29" s="41"/>
      <c r="DF29" s="13">
        <v>15</v>
      </c>
      <c r="DG29" s="13">
        <v>25</v>
      </c>
      <c r="DH29" s="13">
        <v>400</v>
      </c>
      <c r="DI29" s="13">
        <v>3</v>
      </c>
      <c r="DJ29" s="14">
        <f t="shared" si="12"/>
        <v>0.45</v>
      </c>
      <c r="DK29" s="13"/>
      <c r="DL29" s="14"/>
      <c r="DM29" s="41"/>
    </row>
    <row r="30" spans="2:117" ht="15.75" x14ac:dyDescent="0.25">
      <c r="B30" s="231"/>
      <c r="C30" s="231"/>
      <c r="D30" s="231"/>
      <c r="E30" s="231"/>
      <c r="F30" s="231"/>
      <c r="G30" s="231"/>
      <c r="H30" s="231"/>
      <c r="I30" s="231"/>
      <c r="K30" s="13">
        <v>8</v>
      </c>
      <c r="L30" s="13">
        <v>18</v>
      </c>
      <c r="M30" s="13">
        <v>400</v>
      </c>
      <c r="N30" s="13">
        <v>1</v>
      </c>
      <c r="O30" s="14">
        <f t="shared" si="1"/>
        <v>5.7599999999999998E-2</v>
      </c>
      <c r="P30" s="13"/>
      <c r="Q30" s="14"/>
      <c r="R30" s="13"/>
      <c r="T30" s="13">
        <v>5</v>
      </c>
      <c r="U30" s="13">
        <v>13</v>
      </c>
      <c r="V30" s="13">
        <v>400</v>
      </c>
      <c r="W30" s="13">
        <v>1</v>
      </c>
      <c r="X30" s="14">
        <f t="shared" si="2"/>
        <v>2.5999999999999999E-2</v>
      </c>
      <c r="Y30" s="13"/>
      <c r="Z30" s="14"/>
      <c r="AA30" s="13"/>
      <c r="AC30" s="13">
        <v>7</v>
      </c>
      <c r="AD30" s="13">
        <v>13</v>
      </c>
      <c r="AE30" s="13">
        <v>400</v>
      </c>
      <c r="AF30" s="13">
        <v>1</v>
      </c>
      <c r="AG30" s="14">
        <f t="shared" si="3"/>
        <v>3.6400000000000002E-2</v>
      </c>
      <c r="AH30" s="13">
        <f>SUM(AF22:AF30)</f>
        <v>26</v>
      </c>
      <c r="AI30" s="14">
        <f>SUM(AG22:AG30)</f>
        <v>1.4044000000000001</v>
      </c>
      <c r="AJ30" s="13"/>
      <c r="AL30" s="13">
        <v>13</v>
      </c>
      <c r="AM30" s="13">
        <v>28</v>
      </c>
      <c r="AN30" s="13">
        <v>400</v>
      </c>
      <c r="AO30" s="13">
        <v>2</v>
      </c>
      <c r="AP30" s="14">
        <f t="shared" si="13"/>
        <v>0.29120000000000001</v>
      </c>
      <c r="AQ30" s="13"/>
      <c r="AR30" s="14"/>
      <c r="AS30" s="13"/>
      <c r="AU30" s="13">
        <v>10</v>
      </c>
      <c r="AV30" s="13">
        <v>25</v>
      </c>
      <c r="AW30" s="13">
        <v>400</v>
      </c>
      <c r="AX30" s="13">
        <v>1</v>
      </c>
      <c r="AY30" s="14">
        <f t="shared" si="5"/>
        <v>0.1</v>
      </c>
      <c r="AZ30" s="13"/>
      <c r="BA30" s="14"/>
      <c r="BB30" s="13"/>
      <c r="BD30" s="13">
        <v>8</v>
      </c>
      <c r="BE30" s="13">
        <v>20</v>
      </c>
      <c r="BF30" s="13">
        <v>400</v>
      </c>
      <c r="BG30" s="13">
        <v>1</v>
      </c>
      <c r="BH30" s="14">
        <f t="shared" si="6"/>
        <v>6.4000000000000001E-2</v>
      </c>
      <c r="BI30" s="13"/>
      <c r="BJ30" s="14"/>
      <c r="BK30" s="13"/>
      <c r="BM30" s="13">
        <v>7</v>
      </c>
      <c r="BN30" s="13">
        <v>10</v>
      </c>
      <c r="BO30" s="13">
        <v>400</v>
      </c>
      <c r="BP30" s="13">
        <v>4</v>
      </c>
      <c r="BQ30" s="14">
        <f t="shared" si="7"/>
        <v>0.112</v>
      </c>
      <c r="BR30" s="13"/>
      <c r="BS30" s="14"/>
      <c r="BT30" s="13"/>
      <c r="BV30" s="13">
        <v>4.5</v>
      </c>
      <c r="BW30" s="13">
        <v>25</v>
      </c>
      <c r="BX30" s="13">
        <v>400</v>
      </c>
      <c r="BY30" s="13">
        <v>4</v>
      </c>
      <c r="BZ30" s="14">
        <f t="shared" si="8"/>
        <v>0.18</v>
      </c>
      <c r="CA30" s="13"/>
      <c r="CB30" s="14"/>
      <c r="CC30" s="13"/>
      <c r="CE30" s="13">
        <v>7</v>
      </c>
      <c r="CF30" s="13">
        <v>12</v>
      </c>
      <c r="CG30" s="13">
        <v>400</v>
      </c>
      <c r="CH30" s="13">
        <v>1</v>
      </c>
      <c r="CI30" s="14">
        <f t="shared" si="9"/>
        <v>3.3599999999999998E-2</v>
      </c>
      <c r="CJ30" s="13"/>
      <c r="CK30" s="14"/>
      <c r="CL30" s="41"/>
      <c r="CN30" s="13">
        <v>10</v>
      </c>
      <c r="CO30" s="13">
        <v>15</v>
      </c>
      <c r="CP30" s="13">
        <v>400</v>
      </c>
      <c r="CQ30" s="13">
        <v>4</v>
      </c>
      <c r="CR30" s="14">
        <f t="shared" si="10"/>
        <v>0.24</v>
      </c>
      <c r="CS30" s="13"/>
      <c r="CT30" s="14"/>
      <c r="CU30" s="41"/>
      <c r="CW30" s="13">
        <v>7</v>
      </c>
      <c r="CX30" s="13">
        <v>30</v>
      </c>
      <c r="CY30" s="13">
        <v>400</v>
      </c>
      <c r="CZ30" s="13">
        <v>1</v>
      </c>
      <c r="DA30" s="14">
        <f t="shared" si="11"/>
        <v>8.4000000000000005E-2</v>
      </c>
      <c r="DB30" s="13"/>
      <c r="DC30" s="14"/>
      <c r="DD30" s="41"/>
      <c r="DF30" s="13">
        <v>4.5</v>
      </c>
      <c r="DG30" s="13">
        <v>30</v>
      </c>
      <c r="DH30" s="13">
        <v>400</v>
      </c>
      <c r="DI30" s="13">
        <v>2</v>
      </c>
      <c r="DJ30" s="14">
        <f t="shared" si="12"/>
        <v>0.108</v>
      </c>
      <c r="DK30" s="37"/>
      <c r="DL30" s="36"/>
      <c r="DM30" s="41"/>
    </row>
    <row r="31" spans="2:117" ht="15.75" x14ac:dyDescent="0.25">
      <c r="B31" s="28" t="s">
        <v>18</v>
      </c>
      <c r="C31" s="27" t="s">
        <v>34</v>
      </c>
      <c r="D31" s="26"/>
      <c r="E31" s="26"/>
      <c r="F31" s="26"/>
      <c r="G31" s="26"/>
      <c r="H31" s="26"/>
      <c r="I31" s="26"/>
      <c r="K31" s="13">
        <v>8</v>
      </c>
      <c r="L31" s="13">
        <v>15</v>
      </c>
      <c r="M31" s="13">
        <v>400</v>
      </c>
      <c r="N31" s="13">
        <v>1</v>
      </c>
      <c r="O31" s="14">
        <f t="shared" si="1"/>
        <v>4.8000000000000001E-2</v>
      </c>
      <c r="P31" s="13"/>
      <c r="Q31" s="14"/>
      <c r="R31" s="13"/>
      <c r="T31" s="122">
        <v>5</v>
      </c>
      <c r="U31" s="122">
        <v>7</v>
      </c>
      <c r="V31" s="122">
        <v>400</v>
      </c>
      <c r="W31" s="122">
        <v>76</v>
      </c>
      <c r="X31" s="123">
        <f t="shared" si="2"/>
        <v>1.0640000000000001</v>
      </c>
      <c r="Y31" s="122">
        <f>SUM(W28:W31)</f>
        <v>86</v>
      </c>
      <c r="Z31" s="123">
        <f>SUM(X28:X31)</f>
        <v>1.3800000000000001</v>
      </c>
      <c r="AA31" s="122"/>
      <c r="AC31" s="13">
        <v>4.5</v>
      </c>
      <c r="AD31" s="13">
        <v>25</v>
      </c>
      <c r="AE31" s="13">
        <v>400</v>
      </c>
      <c r="AF31" s="13">
        <v>2</v>
      </c>
      <c r="AG31" s="14">
        <f t="shared" si="3"/>
        <v>0.09</v>
      </c>
      <c r="AH31" s="13"/>
      <c r="AI31" s="14"/>
      <c r="AJ31" s="13"/>
      <c r="AL31" s="13">
        <v>13</v>
      </c>
      <c r="AM31" s="13">
        <v>23</v>
      </c>
      <c r="AN31" s="13">
        <v>400</v>
      </c>
      <c r="AO31" s="13">
        <v>5</v>
      </c>
      <c r="AP31" s="14">
        <f t="shared" si="13"/>
        <v>0.59799999999999998</v>
      </c>
      <c r="AQ31" s="13"/>
      <c r="AR31" s="14"/>
      <c r="AS31" s="13"/>
      <c r="AU31" s="13">
        <v>6</v>
      </c>
      <c r="AV31" s="13">
        <v>25</v>
      </c>
      <c r="AW31" s="13">
        <v>400</v>
      </c>
      <c r="AX31" s="13">
        <v>2</v>
      </c>
      <c r="AY31" s="14">
        <f t="shared" si="5"/>
        <v>0.12</v>
      </c>
      <c r="AZ31" s="13"/>
      <c r="BA31" s="14"/>
      <c r="BB31" s="13"/>
      <c r="BD31" s="13">
        <v>12</v>
      </c>
      <c r="BE31" s="13">
        <v>22</v>
      </c>
      <c r="BF31" s="13">
        <v>400</v>
      </c>
      <c r="BG31" s="13">
        <v>1</v>
      </c>
      <c r="BH31" s="14">
        <f t="shared" si="6"/>
        <v>0.1056</v>
      </c>
      <c r="BI31" s="13"/>
      <c r="BJ31" s="14"/>
      <c r="BK31" s="13"/>
      <c r="BM31" s="13">
        <v>15</v>
      </c>
      <c r="BN31" s="13">
        <v>25</v>
      </c>
      <c r="BO31" s="13">
        <v>400</v>
      </c>
      <c r="BP31" s="13">
        <v>2</v>
      </c>
      <c r="BQ31" s="14">
        <f t="shared" si="7"/>
        <v>0.3</v>
      </c>
      <c r="BR31" s="13"/>
      <c r="BS31" s="14"/>
      <c r="BT31" s="13"/>
      <c r="BV31" s="13">
        <v>15</v>
      </c>
      <c r="BW31" s="13">
        <v>30</v>
      </c>
      <c r="BX31" s="13">
        <v>400</v>
      </c>
      <c r="BY31" s="13">
        <v>1</v>
      </c>
      <c r="BZ31" s="14">
        <f t="shared" si="8"/>
        <v>0.18</v>
      </c>
      <c r="CA31" s="13"/>
      <c r="CB31" s="14"/>
      <c r="CC31" s="13"/>
      <c r="CE31" s="13">
        <v>10</v>
      </c>
      <c r="CF31" s="13">
        <v>10</v>
      </c>
      <c r="CG31" s="13">
        <v>400</v>
      </c>
      <c r="CH31" s="13">
        <v>2</v>
      </c>
      <c r="CI31" s="14">
        <f t="shared" si="9"/>
        <v>0.08</v>
      </c>
      <c r="CJ31" s="13"/>
      <c r="CK31" s="14"/>
      <c r="CL31" s="41"/>
      <c r="CN31" s="13">
        <v>3.5</v>
      </c>
      <c r="CO31" s="13">
        <v>15</v>
      </c>
      <c r="CP31" s="13">
        <v>400</v>
      </c>
      <c r="CQ31" s="13">
        <v>12</v>
      </c>
      <c r="CR31" s="14">
        <f t="shared" si="10"/>
        <v>0.252</v>
      </c>
      <c r="CS31" s="13"/>
      <c r="CT31" s="14"/>
      <c r="CU31" s="41"/>
      <c r="CW31" s="13">
        <v>7</v>
      </c>
      <c r="CX31" s="13">
        <v>20</v>
      </c>
      <c r="CY31" s="13">
        <v>400</v>
      </c>
      <c r="CZ31" s="13">
        <v>4</v>
      </c>
      <c r="DA31" s="14">
        <f t="shared" si="11"/>
        <v>0.224</v>
      </c>
      <c r="DB31" s="37"/>
      <c r="DC31" s="36"/>
      <c r="DD31" s="41"/>
      <c r="DF31" s="13">
        <v>15</v>
      </c>
      <c r="DG31" s="13">
        <v>30</v>
      </c>
      <c r="DH31" s="13">
        <v>400</v>
      </c>
      <c r="DI31" s="13">
        <v>6</v>
      </c>
      <c r="DJ31" s="14">
        <f t="shared" si="12"/>
        <v>1.08</v>
      </c>
      <c r="DK31" s="13"/>
      <c r="DL31" s="14"/>
      <c r="DM31" s="13"/>
    </row>
    <row r="32" spans="2:117" ht="15.75" x14ac:dyDescent="0.25">
      <c r="B32" s="28" t="s">
        <v>16</v>
      </c>
      <c r="C32" s="27" t="s">
        <v>33</v>
      </c>
      <c r="D32" s="26"/>
      <c r="E32" s="26"/>
      <c r="F32" s="26"/>
      <c r="G32" s="26"/>
      <c r="H32" s="26"/>
      <c r="I32" s="26"/>
      <c r="K32" s="13">
        <v>8</v>
      </c>
      <c r="L32" s="13">
        <v>10</v>
      </c>
      <c r="M32" s="13">
        <v>400</v>
      </c>
      <c r="N32" s="13">
        <v>3</v>
      </c>
      <c r="O32" s="14">
        <f t="shared" si="1"/>
        <v>9.6000000000000002E-2</v>
      </c>
      <c r="P32" s="13">
        <f>SUM(N24:N32)</f>
        <v>24</v>
      </c>
      <c r="Q32" s="14">
        <f>SUM(O24:O32)</f>
        <v>1.6672000000000002</v>
      </c>
      <c r="R32" s="13"/>
      <c r="T32" s="13">
        <v>4.5</v>
      </c>
      <c r="U32" s="13">
        <v>20</v>
      </c>
      <c r="V32" s="13">
        <v>400</v>
      </c>
      <c r="W32" s="13">
        <v>4</v>
      </c>
      <c r="X32" s="14">
        <f t="shared" si="2"/>
        <v>0.14399999999999999</v>
      </c>
      <c r="Y32" s="13"/>
      <c r="Z32" s="14"/>
      <c r="AA32" s="13"/>
      <c r="AC32" s="13">
        <v>4.5</v>
      </c>
      <c r="AD32" s="13">
        <v>23</v>
      </c>
      <c r="AE32" s="13">
        <v>400</v>
      </c>
      <c r="AF32" s="13">
        <v>1</v>
      </c>
      <c r="AG32" s="14">
        <f t="shared" si="3"/>
        <v>4.1399999999999999E-2</v>
      </c>
      <c r="AH32" s="13"/>
      <c r="AI32" s="14"/>
      <c r="AJ32" s="13"/>
      <c r="AL32" s="13">
        <v>13</v>
      </c>
      <c r="AM32" s="13">
        <v>20</v>
      </c>
      <c r="AN32" s="13">
        <v>400</v>
      </c>
      <c r="AO32" s="13">
        <v>3</v>
      </c>
      <c r="AP32" s="14">
        <f t="shared" si="13"/>
        <v>0.312</v>
      </c>
      <c r="AQ32" s="13"/>
      <c r="AR32" s="14"/>
      <c r="AS32" s="13"/>
      <c r="AU32" s="13">
        <v>5</v>
      </c>
      <c r="AV32" s="13">
        <v>25</v>
      </c>
      <c r="AW32" s="13">
        <v>400</v>
      </c>
      <c r="AX32" s="13">
        <v>1</v>
      </c>
      <c r="AY32" s="14">
        <f t="shared" si="5"/>
        <v>0.05</v>
      </c>
      <c r="AZ32" s="13"/>
      <c r="BA32" s="14"/>
      <c r="BB32" s="13"/>
      <c r="BD32" s="13">
        <v>3</v>
      </c>
      <c r="BE32" s="13">
        <v>15</v>
      </c>
      <c r="BF32" s="13">
        <v>400</v>
      </c>
      <c r="BG32" s="13">
        <v>1</v>
      </c>
      <c r="BH32" s="14">
        <f t="shared" si="6"/>
        <v>1.7999999999999999E-2</v>
      </c>
      <c r="BI32" s="13"/>
      <c r="BJ32" s="14"/>
      <c r="BK32" s="13"/>
      <c r="BM32" s="13">
        <v>7</v>
      </c>
      <c r="BN32" s="13">
        <v>25</v>
      </c>
      <c r="BO32" s="13">
        <v>400</v>
      </c>
      <c r="BP32" s="13">
        <v>2</v>
      </c>
      <c r="BQ32" s="14">
        <f t="shared" si="7"/>
        <v>0.14000000000000001</v>
      </c>
      <c r="BR32" s="13"/>
      <c r="BS32" s="14"/>
      <c r="BT32" s="13"/>
      <c r="BV32" s="13">
        <v>15</v>
      </c>
      <c r="BW32" s="13">
        <v>33</v>
      </c>
      <c r="BX32" s="13">
        <v>400</v>
      </c>
      <c r="BY32" s="13">
        <v>2</v>
      </c>
      <c r="BZ32" s="14">
        <f t="shared" si="8"/>
        <v>0.39600000000000002</v>
      </c>
      <c r="CA32" s="13"/>
      <c r="CB32" s="14"/>
      <c r="CC32" s="13"/>
      <c r="CE32" s="13">
        <v>7</v>
      </c>
      <c r="CF32" s="13">
        <v>10</v>
      </c>
      <c r="CG32" s="13">
        <v>400</v>
      </c>
      <c r="CH32" s="13">
        <v>1</v>
      </c>
      <c r="CI32" s="14">
        <f t="shared" si="9"/>
        <v>2.8000000000000001E-2</v>
      </c>
      <c r="CJ32" s="13"/>
      <c r="CK32" s="14"/>
      <c r="CL32" s="41"/>
      <c r="CN32" s="13">
        <v>4.5</v>
      </c>
      <c r="CO32" s="13">
        <v>15</v>
      </c>
      <c r="CP32" s="13">
        <v>400</v>
      </c>
      <c r="CQ32" s="13">
        <v>12</v>
      </c>
      <c r="CR32" s="14">
        <f t="shared" si="10"/>
        <v>0.32400000000000001</v>
      </c>
      <c r="CS32" s="13"/>
      <c r="CT32" s="14"/>
      <c r="CU32" s="41"/>
      <c r="CW32" s="13">
        <v>15</v>
      </c>
      <c r="CX32" s="13">
        <v>20</v>
      </c>
      <c r="CY32" s="13">
        <v>400</v>
      </c>
      <c r="CZ32" s="13">
        <v>2</v>
      </c>
      <c r="DA32" s="14">
        <f t="shared" si="11"/>
        <v>0.24</v>
      </c>
      <c r="DB32" s="13"/>
      <c r="DC32" s="14"/>
      <c r="DD32" s="13"/>
      <c r="DF32" s="13">
        <v>10</v>
      </c>
      <c r="DG32" s="13">
        <v>30</v>
      </c>
      <c r="DH32" s="13">
        <v>400</v>
      </c>
      <c r="DI32" s="13">
        <v>2</v>
      </c>
      <c r="DJ32" s="14">
        <f t="shared" si="12"/>
        <v>0.24</v>
      </c>
      <c r="DK32" s="13"/>
      <c r="DL32" s="14"/>
      <c r="DM32" s="13"/>
    </row>
    <row r="33" spans="2:117" ht="15.75" x14ac:dyDescent="0.25">
      <c r="B33" s="25"/>
      <c r="C33" s="25"/>
      <c r="D33" s="25"/>
      <c r="E33" s="25"/>
      <c r="F33" s="25"/>
      <c r="G33" s="225" t="s">
        <v>64</v>
      </c>
      <c r="H33" s="225"/>
      <c r="I33" s="225"/>
      <c r="K33" s="13">
        <v>5</v>
      </c>
      <c r="L33" s="13">
        <v>15</v>
      </c>
      <c r="M33" s="13">
        <v>400</v>
      </c>
      <c r="N33" s="13">
        <v>2</v>
      </c>
      <c r="O33" s="14">
        <f t="shared" si="1"/>
        <v>0.06</v>
      </c>
      <c r="P33" s="13"/>
      <c r="Q33" s="14"/>
      <c r="R33" s="13"/>
      <c r="T33" s="13">
        <v>4.5</v>
      </c>
      <c r="U33" s="13">
        <v>18</v>
      </c>
      <c r="V33" s="13">
        <v>400</v>
      </c>
      <c r="W33" s="13">
        <v>1</v>
      </c>
      <c r="X33" s="14">
        <f t="shared" si="2"/>
        <v>3.2399999999999998E-2</v>
      </c>
      <c r="Y33" s="13"/>
      <c r="Z33" s="14"/>
      <c r="AA33" s="13"/>
      <c r="AC33" s="13">
        <v>4.5</v>
      </c>
      <c r="AD33" s="13">
        <v>18</v>
      </c>
      <c r="AE33" s="13">
        <v>400</v>
      </c>
      <c r="AF33" s="13">
        <v>2</v>
      </c>
      <c r="AG33" s="14">
        <f t="shared" si="3"/>
        <v>6.4799999999999996E-2</v>
      </c>
      <c r="AH33" s="13"/>
      <c r="AI33" s="14"/>
      <c r="AJ33" s="13"/>
      <c r="AL33" s="13">
        <v>13</v>
      </c>
      <c r="AM33" s="13">
        <v>15</v>
      </c>
      <c r="AN33" s="13">
        <v>400</v>
      </c>
      <c r="AO33" s="13">
        <v>2</v>
      </c>
      <c r="AP33" s="14">
        <f t="shared" si="13"/>
        <v>0.156</v>
      </c>
      <c r="AQ33" s="13">
        <f>SUM(AO28:AO33)</f>
        <v>16</v>
      </c>
      <c r="AR33" s="14">
        <f>SUM(AP28:AP33)</f>
        <v>1.9967999999999999</v>
      </c>
      <c r="AS33" s="13"/>
      <c r="AU33" s="13">
        <v>6</v>
      </c>
      <c r="AV33" s="13">
        <v>15</v>
      </c>
      <c r="AW33" s="13">
        <v>400</v>
      </c>
      <c r="AX33" s="13">
        <v>1</v>
      </c>
      <c r="AY33" s="14">
        <f t="shared" si="5"/>
        <v>3.5999999999999997E-2</v>
      </c>
      <c r="AZ33" s="13"/>
      <c r="BA33" s="14"/>
      <c r="BB33" s="13"/>
      <c r="BD33" s="13">
        <v>5</v>
      </c>
      <c r="BE33" s="13">
        <v>15</v>
      </c>
      <c r="BF33" s="13">
        <v>400</v>
      </c>
      <c r="BG33" s="13">
        <v>3</v>
      </c>
      <c r="BH33" s="14">
        <f t="shared" si="6"/>
        <v>0.09</v>
      </c>
      <c r="BI33" s="13"/>
      <c r="BJ33" s="14"/>
      <c r="BK33" s="13"/>
      <c r="BM33" s="13">
        <v>3.5</v>
      </c>
      <c r="BN33" s="13">
        <v>25</v>
      </c>
      <c r="BO33" s="13">
        <v>400</v>
      </c>
      <c r="BP33" s="13">
        <v>1</v>
      </c>
      <c r="BQ33" s="14">
        <f t="shared" si="7"/>
        <v>3.5000000000000003E-2</v>
      </c>
      <c r="BR33" s="13"/>
      <c r="BS33" s="14"/>
      <c r="BT33" s="13"/>
      <c r="BV33" s="13">
        <v>13</v>
      </c>
      <c r="BW33" s="13">
        <v>33</v>
      </c>
      <c r="BX33" s="13">
        <v>400</v>
      </c>
      <c r="BY33" s="13">
        <v>3</v>
      </c>
      <c r="BZ33" s="14">
        <f t="shared" si="8"/>
        <v>0.51480000000000004</v>
      </c>
      <c r="CA33" s="13"/>
      <c r="CB33" s="14"/>
      <c r="CC33" s="13"/>
      <c r="CE33" s="13">
        <v>5</v>
      </c>
      <c r="CF33" s="13">
        <v>10</v>
      </c>
      <c r="CG33" s="13">
        <v>400</v>
      </c>
      <c r="CH33" s="13">
        <v>1</v>
      </c>
      <c r="CI33" s="14">
        <f t="shared" si="9"/>
        <v>0.02</v>
      </c>
      <c r="CJ33" s="13"/>
      <c r="CK33" s="14"/>
      <c r="CL33" s="41"/>
      <c r="CN33" s="13">
        <v>2.2000000000000002</v>
      </c>
      <c r="CO33" s="13">
        <v>15</v>
      </c>
      <c r="CP33" s="13">
        <v>400</v>
      </c>
      <c r="CQ33" s="13">
        <v>13</v>
      </c>
      <c r="CR33" s="14">
        <f t="shared" si="10"/>
        <v>0.1716</v>
      </c>
      <c r="CS33" s="13"/>
      <c r="CT33" s="14"/>
      <c r="CU33" s="41"/>
      <c r="CW33" s="13">
        <v>13</v>
      </c>
      <c r="CX33" s="13">
        <v>15</v>
      </c>
      <c r="CY33" s="13">
        <v>400</v>
      </c>
      <c r="CZ33" s="13">
        <v>2</v>
      </c>
      <c r="DA33" s="14">
        <f t="shared" si="11"/>
        <v>0.156</v>
      </c>
      <c r="DB33" s="13"/>
      <c r="DC33" s="14"/>
      <c r="DD33" s="13"/>
      <c r="DF33" s="13">
        <v>15</v>
      </c>
      <c r="DG33" s="13">
        <v>20</v>
      </c>
      <c r="DH33" s="13">
        <v>400</v>
      </c>
      <c r="DI33" s="13">
        <v>8</v>
      </c>
      <c r="DJ33" s="14">
        <f t="shared" si="12"/>
        <v>0.96</v>
      </c>
      <c r="DK33" s="13"/>
      <c r="DL33" s="14"/>
      <c r="DM33" s="13"/>
    </row>
    <row r="34" spans="2:117" ht="15.75" x14ac:dyDescent="0.25">
      <c r="B34" s="226" t="s">
        <v>13</v>
      </c>
      <c r="C34" s="227"/>
      <c r="D34" s="228"/>
      <c r="E34" s="227" t="s">
        <v>12</v>
      </c>
      <c r="F34" s="228"/>
      <c r="G34" s="227" t="s">
        <v>12</v>
      </c>
      <c r="H34" s="228"/>
      <c r="I34" s="229" t="s">
        <v>11</v>
      </c>
      <c r="K34" s="13">
        <v>5</v>
      </c>
      <c r="L34" s="13">
        <v>10</v>
      </c>
      <c r="M34" s="13">
        <v>400</v>
      </c>
      <c r="N34" s="13">
        <v>28</v>
      </c>
      <c r="O34" s="14">
        <f t="shared" si="1"/>
        <v>0.56000000000000005</v>
      </c>
      <c r="P34" s="13"/>
      <c r="Q34" s="14"/>
      <c r="R34" s="13"/>
      <c r="T34" s="13">
        <v>4.5</v>
      </c>
      <c r="U34" s="13">
        <v>15</v>
      </c>
      <c r="V34" s="13">
        <v>400</v>
      </c>
      <c r="W34" s="13">
        <v>4</v>
      </c>
      <c r="X34" s="14">
        <f t="shared" si="2"/>
        <v>0.108</v>
      </c>
      <c r="Y34" s="13"/>
      <c r="Z34" s="14"/>
      <c r="AA34" s="13"/>
      <c r="AC34" s="13">
        <v>4.5</v>
      </c>
      <c r="AD34" s="13">
        <v>15</v>
      </c>
      <c r="AE34" s="13">
        <v>400</v>
      </c>
      <c r="AF34" s="13">
        <v>14</v>
      </c>
      <c r="AG34" s="14">
        <f t="shared" si="3"/>
        <v>0.378</v>
      </c>
      <c r="AH34" s="13"/>
      <c r="AI34" s="14"/>
      <c r="AJ34" s="13"/>
      <c r="AL34" s="13">
        <v>10</v>
      </c>
      <c r="AM34" s="13">
        <v>33</v>
      </c>
      <c r="AN34" s="13">
        <v>400</v>
      </c>
      <c r="AO34" s="13">
        <v>1</v>
      </c>
      <c r="AP34" s="14">
        <f t="shared" si="13"/>
        <v>0.13200000000000001</v>
      </c>
      <c r="AQ34" s="13"/>
      <c r="AR34" s="14"/>
      <c r="AS34" s="13"/>
      <c r="AU34" s="13">
        <v>3</v>
      </c>
      <c r="AV34" s="13">
        <v>15</v>
      </c>
      <c r="AW34" s="13">
        <v>400</v>
      </c>
      <c r="AX34" s="13">
        <v>1</v>
      </c>
      <c r="AY34" s="14">
        <f t="shared" si="5"/>
        <v>1.7999999999999999E-2</v>
      </c>
      <c r="AZ34" s="13"/>
      <c r="BA34" s="14"/>
      <c r="BB34" s="13"/>
      <c r="BD34" s="13">
        <v>10</v>
      </c>
      <c r="BE34" s="13">
        <v>12</v>
      </c>
      <c r="BF34" s="13">
        <v>400</v>
      </c>
      <c r="BG34" s="13">
        <v>2</v>
      </c>
      <c r="BH34" s="14">
        <f t="shared" si="6"/>
        <v>9.6000000000000002E-2</v>
      </c>
      <c r="BI34" s="13"/>
      <c r="BJ34" s="14"/>
      <c r="BK34" s="13"/>
      <c r="BM34" s="13">
        <v>2.2000000000000002</v>
      </c>
      <c r="BN34" s="13">
        <v>25</v>
      </c>
      <c r="BO34" s="13">
        <v>400</v>
      </c>
      <c r="BP34" s="13">
        <v>1</v>
      </c>
      <c r="BQ34" s="14">
        <f t="shared" si="7"/>
        <v>2.2000000000000002E-2</v>
      </c>
      <c r="BR34" s="13"/>
      <c r="BS34" s="14"/>
      <c r="BT34" s="13"/>
      <c r="BV34" s="13">
        <v>10</v>
      </c>
      <c r="BW34" s="13">
        <v>30</v>
      </c>
      <c r="BX34" s="13">
        <v>400</v>
      </c>
      <c r="BY34" s="13">
        <v>2</v>
      </c>
      <c r="BZ34" s="14">
        <f t="shared" si="8"/>
        <v>0.24</v>
      </c>
      <c r="CA34" s="13"/>
      <c r="CB34" s="14"/>
      <c r="CC34" s="13"/>
      <c r="CE34" s="13">
        <v>2</v>
      </c>
      <c r="CF34" s="13">
        <v>10</v>
      </c>
      <c r="CG34" s="13">
        <v>400</v>
      </c>
      <c r="CH34" s="13">
        <v>10</v>
      </c>
      <c r="CI34" s="14">
        <f t="shared" si="9"/>
        <v>0.08</v>
      </c>
      <c r="CJ34" s="13"/>
      <c r="CK34" s="14"/>
      <c r="CL34" s="41"/>
      <c r="CN34" s="13">
        <v>7</v>
      </c>
      <c r="CO34" s="13">
        <v>15</v>
      </c>
      <c r="CP34" s="13">
        <v>400</v>
      </c>
      <c r="CQ34" s="13">
        <v>5</v>
      </c>
      <c r="CR34" s="14">
        <f t="shared" si="10"/>
        <v>0.21</v>
      </c>
      <c r="CS34" s="13"/>
      <c r="CT34" s="14"/>
      <c r="CU34" s="41"/>
      <c r="CW34" s="13">
        <v>3.5</v>
      </c>
      <c r="CX34" s="13">
        <v>15</v>
      </c>
      <c r="CY34" s="13">
        <v>400</v>
      </c>
      <c r="CZ34" s="13">
        <v>4</v>
      </c>
      <c r="DA34" s="14">
        <f t="shared" si="11"/>
        <v>8.4000000000000005E-2</v>
      </c>
      <c r="DB34" s="13"/>
      <c r="DC34" s="14"/>
      <c r="DD34" s="13"/>
      <c r="DF34" s="13">
        <v>13</v>
      </c>
      <c r="DG34" s="13">
        <v>30</v>
      </c>
      <c r="DH34" s="13">
        <v>400</v>
      </c>
      <c r="DI34" s="13">
        <v>2</v>
      </c>
      <c r="DJ34" s="14">
        <f t="shared" si="12"/>
        <v>0.312</v>
      </c>
      <c r="DK34" s="13"/>
      <c r="DL34" s="14"/>
      <c r="DM34" s="13"/>
    </row>
    <row r="35" spans="2:117" ht="15.75" x14ac:dyDescent="0.25">
      <c r="B35" s="24" t="s">
        <v>10</v>
      </c>
      <c r="C35" s="24" t="s">
        <v>9</v>
      </c>
      <c r="D35" s="24" t="s">
        <v>8</v>
      </c>
      <c r="E35" s="24" t="s">
        <v>7</v>
      </c>
      <c r="F35" s="54" t="s">
        <v>6</v>
      </c>
      <c r="G35" s="22" t="s">
        <v>7</v>
      </c>
      <c r="H35" s="21" t="s">
        <v>6</v>
      </c>
      <c r="I35" s="230"/>
      <c r="K35" s="13">
        <v>5</v>
      </c>
      <c r="L35" s="13">
        <v>8</v>
      </c>
      <c r="M35" s="13">
        <v>400</v>
      </c>
      <c r="N35" s="13">
        <v>31</v>
      </c>
      <c r="O35" s="14">
        <f t="shared" si="1"/>
        <v>0.496</v>
      </c>
      <c r="P35" s="13"/>
      <c r="Q35" s="14"/>
      <c r="R35" s="13"/>
      <c r="T35" s="13">
        <v>4.5</v>
      </c>
      <c r="U35" s="13">
        <v>13</v>
      </c>
      <c r="V35" s="13">
        <v>400</v>
      </c>
      <c r="W35" s="13">
        <v>7</v>
      </c>
      <c r="X35" s="14">
        <f t="shared" si="2"/>
        <v>0.1638</v>
      </c>
      <c r="Y35" s="13"/>
      <c r="Z35" s="14"/>
      <c r="AA35" s="13"/>
      <c r="AC35" s="13">
        <v>4.5</v>
      </c>
      <c r="AD35" s="13">
        <v>13</v>
      </c>
      <c r="AE35" s="13">
        <v>400</v>
      </c>
      <c r="AF35" s="13">
        <v>12</v>
      </c>
      <c r="AG35" s="14">
        <f t="shared" si="3"/>
        <v>0.28079999999999999</v>
      </c>
      <c r="AH35" s="13"/>
      <c r="AI35" s="14"/>
      <c r="AJ35" s="13"/>
      <c r="AL35" s="13">
        <v>10</v>
      </c>
      <c r="AM35" s="13">
        <v>28</v>
      </c>
      <c r="AN35" s="13">
        <v>400</v>
      </c>
      <c r="AO35" s="13">
        <v>2</v>
      </c>
      <c r="AP35" s="14">
        <f t="shared" si="13"/>
        <v>0.224</v>
      </c>
      <c r="AQ35" s="13"/>
      <c r="AR35" s="14"/>
      <c r="AS35" s="13"/>
      <c r="AU35" s="13">
        <v>2</v>
      </c>
      <c r="AV35" s="13">
        <v>15</v>
      </c>
      <c r="AW35" s="13">
        <v>400</v>
      </c>
      <c r="AX35" s="13">
        <v>9</v>
      </c>
      <c r="AY35" s="14">
        <f t="shared" si="5"/>
        <v>0.108</v>
      </c>
      <c r="AZ35" s="13"/>
      <c r="BA35" s="14"/>
      <c r="BB35" s="13"/>
      <c r="BD35" s="13">
        <v>5</v>
      </c>
      <c r="BE35" s="13">
        <v>12</v>
      </c>
      <c r="BF35" s="13">
        <v>400</v>
      </c>
      <c r="BG35" s="13">
        <v>2</v>
      </c>
      <c r="BH35" s="14">
        <f t="shared" si="6"/>
        <v>4.8000000000000001E-2</v>
      </c>
      <c r="BI35" s="13"/>
      <c r="BJ35" s="14"/>
      <c r="BK35" s="13"/>
      <c r="BM35" s="13">
        <v>3.5</v>
      </c>
      <c r="BN35" s="13">
        <v>15</v>
      </c>
      <c r="BO35" s="13">
        <v>400</v>
      </c>
      <c r="BP35" s="13">
        <v>3</v>
      </c>
      <c r="BQ35" s="14">
        <f t="shared" si="7"/>
        <v>6.3E-2</v>
      </c>
      <c r="BR35" s="13"/>
      <c r="BS35" s="14"/>
      <c r="BT35" s="13"/>
      <c r="BV35" s="13">
        <v>7</v>
      </c>
      <c r="BW35" s="13">
        <v>25</v>
      </c>
      <c r="BX35" s="13">
        <v>400</v>
      </c>
      <c r="BY35" s="13">
        <v>2</v>
      </c>
      <c r="BZ35" s="14">
        <f t="shared" si="8"/>
        <v>0.14000000000000001</v>
      </c>
      <c r="CA35" s="13"/>
      <c r="CB35" s="14"/>
      <c r="CC35" s="13"/>
      <c r="CE35" s="13">
        <v>4.5</v>
      </c>
      <c r="CF35" s="13">
        <v>10</v>
      </c>
      <c r="CG35" s="13">
        <v>400</v>
      </c>
      <c r="CH35" s="13">
        <v>11</v>
      </c>
      <c r="CI35" s="14">
        <f t="shared" si="9"/>
        <v>0.19800000000000001</v>
      </c>
      <c r="CJ35" s="13"/>
      <c r="CK35" s="14"/>
      <c r="CL35" s="41"/>
      <c r="CN35" s="13">
        <v>13</v>
      </c>
      <c r="CO35" s="13">
        <v>15</v>
      </c>
      <c r="CP35" s="13">
        <v>400</v>
      </c>
      <c r="CQ35" s="13">
        <v>1</v>
      </c>
      <c r="CR35" s="14">
        <f t="shared" si="10"/>
        <v>7.8E-2</v>
      </c>
      <c r="CS35" s="37"/>
      <c r="CT35" s="36"/>
      <c r="CU35" s="41"/>
      <c r="CW35" s="13">
        <v>3.5</v>
      </c>
      <c r="CX35" s="13">
        <v>13</v>
      </c>
      <c r="CY35" s="13">
        <v>400</v>
      </c>
      <c r="CZ35" s="13">
        <v>3</v>
      </c>
      <c r="DA35" s="14">
        <f t="shared" si="11"/>
        <v>5.4600000000000003E-2</v>
      </c>
      <c r="DB35" s="13"/>
      <c r="DC35" s="14"/>
      <c r="DD35" s="13"/>
      <c r="DF35" s="61">
        <v>13</v>
      </c>
      <c r="DG35" s="61">
        <v>25</v>
      </c>
      <c r="DH35" s="13">
        <v>400</v>
      </c>
      <c r="DI35" s="61">
        <v>3</v>
      </c>
      <c r="DJ35" s="63">
        <f t="shared" si="12"/>
        <v>0.39</v>
      </c>
      <c r="DK35" s="13"/>
      <c r="DL35" s="14"/>
      <c r="DM35" s="13"/>
    </row>
    <row r="36" spans="2:117" ht="15.75" x14ac:dyDescent="0.25">
      <c r="B36" s="13">
        <v>15</v>
      </c>
      <c r="C36" s="13">
        <v>33</v>
      </c>
      <c r="D36" s="13">
        <v>400</v>
      </c>
      <c r="E36" s="13">
        <v>2</v>
      </c>
      <c r="F36" s="20">
        <f t="shared" ref="F36:F61" si="14">B36*C36*D36*E36/1000000</f>
        <v>0.39600000000000002</v>
      </c>
      <c r="G36" s="13"/>
      <c r="H36" s="14"/>
      <c r="I36" s="13"/>
      <c r="K36" s="122">
        <v>5</v>
      </c>
      <c r="L36" s="122">
        <v>7</v>
      </c>
      <c r="M36" s="122">
        <v>400</v>
      </c>
      <c r="N36" s="122">
        <v>16</v>
      </c>
      <c r="O36" s="123">
        <f t="shared" si="1"/>
        <v>0.224</v>
      </c>
      <c r="P36" s="122">
        <f>SUM(N33:N36)</f>
        <v>77</v>
      </c>
      <c r="Q36" s="123">
        <f>SUM(O33:O36)</f>
        <v>1.34</v>
      </c>
      <c r="R36" s="122"/>
      <c r="T36" s="13">
        <v>4.5</v>
      </c>
      <c r="U36" s="13">
        <v>10</v>
      </c>
      <c r="V36" s="13">
        <v>400</v>
      </c>
      <c r="W36" s="13">
        <v>11</v>
      </c>
      <c r="X36" s="14">
        <f t="shared" si="2"/>
        <v>0.19800000000000001</v>
      </c>
      <c r="Y36" s="13">
        <f>SUM(W32:W36)</f>
        <v>27</v>
      </c>
      <c r="Z36" s="14">
        <f>SUM(X32:X36)</f>
        <v>0.6462</v>
      </c>
      <c r="AA36" s="13"/>
      <c r="AC36" s="13">
        <v>4.5</v>
      </c>
      <c r="AD36" s="13">
        <v>10</v>
      </c>
      <c r="AE36" s="13">
        <v>400</v>
      </c>
      <c r="AF36" s="13">
        <v>2</v>
      </c>
      <c r="AG36" s="14">
        <f t="shared" si="3"/>
        <v>3.5999999999999997E-2</v>
      </c>
      <c r="AH36" s="13"/>
      <c r="AI36" s="14"/>
      <c r="AJ36" s="13"/>
      <c r="AL36" s="13">
        <v>10</v>
      </c>
      <c r="AM36" s="13">
        <v>25</v>
      </c>
      <c r="AN36" s="13">
        <v>400</v>
      </c>
      <c r="AO36" s="13">
        <v>4</v>
      </c>
      <c r="AP36" s="14">
        <f t="shared" si="13"/>
        <v>0.4</v>
      </c>
      <c r="AQ36" s="13"/>
      <c r="AR36" s="14"/>
      <c r="AS36" s="13"/>
      <c r="AU36" s="13">
        <v>9</v>
      </c>
      <c r="AV36" s="13">
        <v>15</v>
      </c>
      <c r="AW36" s="13">
        <v>400</v>
      </c>
      <c r="AX36" s="13">
        <v>1</v>
      </c>
      <c r="AY36" s="14">
        <f t="shared" si="5"/>
        <v>5.3999999999999999E-2</v>
      </c>
      <c r="AZ36" s="13"/>
      <c r="BA36" s="14"/>
      <c r="BB36" s="13"/>
      <c r="BD36" s="13">
        <v>3</v>
      </c>
      <c r="BE36" s="13">
        <v>12</v>
      </c>
      <c r="BF36" s="13">
        <v>400</v>
      </c>
      <c r="BG36" s="13">
        <v>1</v>
      </c>
      <c r="BH36" s="14">
        <f t="shared" si="6"/>
        <v>1.44E-2</v>
      </c>
      <c r="BI36" s="13"/>
      <c r="BJ36" s="14"/>
      <c r="BK36" s="13"/>
      <c r="BM36" s="13">
        <v>8</v>
      </c>
      <c r="BN36" s="13">
        <v>15</v>
      </c>
      <c r="BO36" s="13">
        <v>400</v>
      </c>
      <c r="BP36" s="13">
        <v>1</v>
      </c>
      <c r="BQ36" s="14">
        <f t="shared" si="7"/>
        <v>4.8000000000000001E-2</v>
      </c>
      <c r="BR36" s="13"/>
      <c r="BS36" s="14"/>
      <c r="BT36" s="13"/>
      <c r="BV36" s="13">
        <v>7</v>
      </c>
      <c r="BW36" s="13">
        <v>23</v>
      </c>
      <c r="BX36" s="13">
        <v>400</v>
      </c>
      <c r="BY36" s="13">
        <v>1</v>
      </c>
      <c r="BZ36" s="14">
        <f t="shared" si="8"/>
        <v>6.4399999999999999E-2</v>
      </c>
      <c r="CA36" s="13"/>
      <c r="CB36" s="14"/>
      <c r="CC36" s="13"/>
      <c r="CE36" s="13">
        <v>3</v>
      </c>
      <c r="CF36" s="13">
        <v>10</v>
      </c>
      <c r="CG36" s="13">
        <v>400</v>
      </c>
      <c r="CH36" s="13">
        <v>1</v>
      </c>
      <c r="CI36" s="14">
        <f t="shared" si="9"/>
        <v>1.2E-2</v>
      </c>
      <c r="CJ36" s="13"/>
      <c r="CK36" s="14"/>
      <c r="CL36" s="41"/>
      <c r="CN36" s="13">
        <v>8</v>
      </c>
      <c r="CO36" s="13">
        <v>15</v>
      </c>
      <c r="CP36" s="13">
        <v>400</v>
      </c>
      <c r="CQ36" s="13">
        <v>1</v>
      </c>
      <c r="CR36" s="14">
        <f t="shared" si="10"/>
        <v>4.8000000000000001E-2</v>
      </c>
      <c r="CS36" s="13"/>
      <c r="CT36" s="14"/>
      <c r="CU36" s="13"/>
      <c r="CW36" s="61">
        <v>2.2000000000000002</v>
      </c>
      <c r="CX36" s="61">
        <v>13</v>
      </c>
      <c r="CY36" s="61">
        <v>400</v>
      </c>
      <c r="CZ36" s="61">
        <v>8</v>
      </c>
      <c r="DA36" s="63">
        <f t="shared" ref="DA36:DA43" si="15">CW36*CX36*CY36*CZ36/1000000</f>
        <v>9.1520000000000004E-2</v>
      </c>
      <c r="DB36" s="13"/>
      <c r="DC36" s="14"/>
      <c r="DD36" s="13"/>
      <c r="DF36" s="13">
        <v>3.5</v>
      </c>
      <c r="DG36" s="13">
        <v>30</v>
      </c>
      <c r="DH36" s="13">
        <v>400</v>
      </c>
      <c r="DI36" s="13">
        <v>1</v>
      </c>
      <c r="DJ36" s="14">
        <f t="shared" si="12"/>
        <v>4.2000000000000003E-2</v>
      </c>
      <c r="DK36" s="13"/>
      <c r="DL36" s="14"/>
      <c r="DM36" s="13"/>
    </row>
    <row r="37" spans="2:117" ht="15.75" x14ac:dyDescent="0.25">
      <c r="B37" s="13">
        <v>15</v>
      </c>
      <c r="C37" s="13">
        <v>20</v>
      </c>
      <c r="D37" s="13">
        <v>400</v>
      </c>
      <c r="E37" s="13">
        <v>5</v>
      </c>
      <c r="F37" s="20">
        <f t="shared" si="14"/>
        <v>0.6</v>
      </c>
      <c r="G37" s="13"/>
      <c r="H37" s="14"/>
      <c r="I37" s="13"/>
      <c r="K37" s="13">
        <v>4.5</v>
      </c>
      <c r="L37" s="13">
        <v>23</v>
      </c>
      <c r="M37" s="13">
        <v>400</v>
      </c>
      <c r="N37" s="13">
        <v>3</v>
      </c>
      <c r="O37" s="14">
        <f t="shared" si="1"/>
        <v>0.1242</v>
      </c>
      <c r="P37" s="13"/>
      <c r="Q37" s="14"/>
      <c r="R37" s="13"/>
      <c r="T37" s="13">
        <v>3.5</v>
      </c>
      <c r="U37" s="13">
        <v>20</v>
      </c>
      <c r="V37" s="13">
        <v>400</v>
      </c>
      <c r="W37" s="13">
        <v>3</v>
      </c>
      <c r="X37" s="14">
        <f t="shared" si="2"/>
        <v>8.4000000000000005E-2</v>
      </c>
      <c r="Y37" s="13"/>
      <c r="Z37" s="14"/>
      <c r="AA37" s="13"/>
      <c r="AC37" s="122">
        <v>4</v>
      </c>
      <c r="AD37" s="122">
        <v>6</v>
      </c>
      <c r="AE37" s="122">
        <v>400</v>
      </c>
      <c r="AF37" s="122">
        <v>300</v>
      </c>
      <c r="AG37" s="123">
        <f t="shared" si="3"/>
        <v>2.88</v>
      </c>
      <c r="AH37" s="122">
        <f>SUM(AF31:AF37)</f>
        <v>333</v>
      </c>
      <c r="AI37" s="123">
        <f>SUM(AG31:AG37)</f>
        <v>3.7709999999999999</v>
      </c>
      <c r="AJ37" s="122"/>
      <c r="AL37" s="13">
        <v>10</v>
      </c>
      <c r="AM37" s="13">
        <v>23</v>
      </c>
      <c r="AN37" s="13">
        <v>400</v>
      </c>
      <c r="AO37" s="13">
        <v>4</v>
      </c>
      <c r="AP37" s="14">
        <f t="shared" si="13"/>
        <v>0.36799999999999999</v>
      </c>
      <c r="AQ37" s="13"/>
      <c r="AR37" s="14"/>
      <c r="AS37" s="13"/>
      <c r="AU37" s="13">
        <v>8</v>
      </c>
      <c r="AV37" s="13">
        <v>15</v>
      </c>
      <c r="AW37" s="13">
        <v>400</v>
      </c>
      <c r="AX37" s="13">
        <v>1</v>
      </c>
      <c r="AY37" s="14">
        <f t="shared" si="5"/>
        <v>4.8000000000000001E-2</v>
      </c>
      <c r="AZ37" s="13"/>
      <c r="BA37" s="14"/>
      <c r="BB37" s="13"/>
      <c r="BD37" s="13">
        <v>6</v>
      </c>
      <c r="BE37" s="13">
        <v>12</v>
      </c>
      <c r="BF37" s="13">
        <v>400</v>
      </c>
      <c r="BG37" s="13">
        <v>1</v>
      </c>
      <c r="BH37" s="14">
        <f t="shared" si="6"/>
        <v>2.8799999999999999E-2</v>
      </c>
      <c r="BI37" s="13"/>
      <c r="BJ37" s="14"/>
      <c r="BK37" s="13"/>
      <c r="BM37" s="13">
        <v>3.5</v>
      </c>
      <c r="BN37" s="13">
        <v>13</v>
      </c>
      <c r="BO37" s="13">
        <v>400</v>
      </c>
      <c r="BP37" s="13">
        <v>2</v>
      </c>
      <c r="BQ37" s="14">
        <f t="shared" si="7"/>
        <v>3.6400000000000002E-2</v>
      </c>
      <c r="BR37" s="13"/>
      <c r="BS37" s="14"/>
      <c r="BT37" s="13"/>
      <c r="BV37" s="13">
        <v>15</v>
      </c>
      <c r="BW37" s="13">
        <v>25</v>
      </c>
      <c r="BX37" s="13">
        <v>400</v>
      </c>
      <c r="BY37" s="13">
        <v>3</v>
      </c>
      <c r="BZ37" s="14">
        <f t="shared" si="8"/>
        <v>0.45</v>
      </c>
      <c r="CA37" s="13"/>
      <c r="CB37" s="14"/>
      <c r="CC37" s="13"/>
      <c r="CE37" s="13">
        <v>6</v>
      </c>
      <c r="CF37" s="13">
        <v>10</v>
      </c>
      <c r="CG37" s="13">
        <v>400</v>
      </c>
      <c r="CH37" s="13">
        <v>1</v>
      </c>
      <c r="CI37" s="14">
        <f t="shared" si="9"/>
        <v>2.4E-2</v>
      </c>
      <c r="CJ37" s="13"/>
      <c r="CK37" s="14"/>
      <c r="CL37" s="41"/>
      <c r="CN37" s="13">
        <v>10</v>
      </c>
      <c r="CO37" s="13">
        <v>13</v>
      </c>
      <c r="CP37" s="13">
        <v>400</v>
      </c>
      <c r="CQ37" s="13">
        <v>1</v>
      </c>
      <c r="CR37" s="14">
        <f t="shared" si="10"/>
        <v>5.1999999999999998E-2</v>
      </c>
      <c r="CS37" s="13"/>
      <c r="CT37" s="14"/>
      <c r="CU37" s="13"/>
      <c r="CW37" s="13">
        <v>4.5</v>
      </c>
      <c r="CX37" s="13">
        <v>10</v>
      </c>
      <c r="CY37" s="13">
        <v>300</v>
      </c>
      <c r="CZ37" s="13">
        <v>33</v>
      </c>
      <c r="DA37" s="14">
        <f t="shared" si="15"/>
        <v>0.44550000000000001</v>
      </c>
      <c r="DB37" s="13"/>
      <c r="DC37" s="14"/>
      <c r="DD37" s="13"/>
      <c r="DF37" s="13">
        <v>3.5</v>
      </c>
      <c r="DG37" s="13">
        <v>20</v>
      </c>
      <c r="DH37" s="13">
        <v>400</v>
      </c>
      <c r="DI37" s="13">
        <v>1</v>
      </c>
      <c r="DJ37" s="14">
        <f t="shared" si="12"/>
        <v>2.8000000000000001E-2</v>
      </c>
      <c r="DK37" s="13"/>
      <c r="DL37" s="14"/>
      <c r="DM37" s="13"/>
    </row>
    <row r="38" spans="2:117" ht="15.75" x14ac:dyDescent="0.25">
      <c r="B38" s="13">
        <v>15</v>
      </c>
      <c r="C38" s="13">
        <v>18</v>
      </c>
      <c r="D38" s="13">
        <v>400</v>
      </c>
      <c r="E38" s="13">
        <v>4</v>
      </c>
      <c r="F38" s="20">
        <f t="shared" si="14"/>
        <v>0.432</v>
      </c>
      <c r="G38" s="13"/>
      <c r="H38" s="14"/>
      <c r="I38" s="13"/>
      <c r="K38" s="13">
        <v>4.5</v>
      </c>
      <c r="L38" s="13">
        <v>20</v>
      </c>
      <c r="M38" s="13">
        <v>400</v>
      </c>
      <c r="N38" s="13">
        <v>3</v>
      </c>
      <c r="O38" s="14">
        <f t="shared" si="1"/>
        <v>0.108</v>
      </c>
      <c r="P38" s="13"/>
      <c r="Q38" s="14"/>
      <c r="R38" s="13"/>
      <c r="T38" s="13">
        <v>3.5</v>
      </c>
      <c r="U38" s="13">
        <v>18</v>
      </c>
      <c r="V38" s="13">
        <v>400</v>
      </c>
      <c r="W38" s="13">
        <v>1</v>
      </c>
      <c r="X38" s="14">
        <f t="shared" si="2"/>
        <v>2.52E-2</v>
      </c>
      <c r="Y38" s="13"/>
      <c r="Z38" s="14"/>
      <c r="AA38" s="13"/>
      <c r="AC38" s="13">
        <v>3.5</v>
      </c>
      <c r="AD38" s="13">
        <v>25</v>
      </c>
      <c r="AE38" s="13">
        <v>400</v>
      </c>
      <c r="AF38" s="13">
        <v>1</v>
      </c>
      <c r="AG38" s="14">
        <f t="shared" si="3"/>
        <v>3.5000000000000003E-2</v>
      </c>
      <c r="AH38" s="13"/>
      <c r="AI38" s="14"/>
      <c r="AJ38" s="13"/>
      <c r="AL38" s="13">
        <v>10</v>
      </c>
      <c r="AM38" s="13">
        <v>20</v>
      </c>
      <c r="AN38" s="13">
        <v>400</v>
      </c>
      <c r="AO38" s="13">
        <v>7</v>
      </c>
      <c r="AP38" s="14">
        <f t="shared" si="13"/>
        <v>0.56000000000000005</v>
      </c>
      <c r="AQ38" s="13"/>
      <c r="AR38" s="14"/>
      <c r="AS38" s="13"/>
      <c r="AU38" s="13">
        <v>7</v>
      </c>
      <c r="AV38" s="13">
        <v>15</v>
      </c>
      <c r="AW38" s="13">
        <v>400</v>
      </c>
      <c r="AX38" s="13">
        <v>2</v>
      </c>
      <c r="AY38" s="14">
        <f t="shared" si="5"/>
        <v>8.4000000000000005E-2</v>
      </c>
      <c r="AZ38" s="13"/>
      <c r="BA38" s="14"/>
      <c r="BB38" s="13"/>
      <c r="BD38" s="13">
        <v>2</v>
      </c>
      <c r="BE38" s="13">
        <v>12</v>
      </c>
      <c r="BF38" s="13">
        <v>400</v>
      </c>
      <c r="BG38" s="13">
        <v>1</v>
      </c>
      <c r="BH38" s="14">
        <f t="shared" si="6"/>
        <v>9.5999999999999992E-3</v>
      </c>
      <c r="BI38" s="13"/>
      <c r="BJ38" s="14"/>
      <c r="BK38" s="13"/>
      <c r="BM38" s="13">
        <v>8</v>
      </c>
      <c r="BN38" s="13">
        <v>25</v>
      </c>
      <c r="BO38" s="13">
        <v>400</v>
      </c>
      <c r="BP38" s="13">
        <v>1</v>
      </c>
      <c r="BQ38" s="14">
        <f t="shared" si="7"/>
        <v>0.08</v>
      </c>
      <c r="BR38" s="13"/>
      <c r="BS38" s="14"/>
      <c r="BT38" s="13"/>
      <c r="BV38" s="13">
        <v>10</v>
      </c>
      <c r="BW38" s="13">
        <v>33</v>
      </c>
      <c r="BX38" s="13">
        <v>400</v>
      </c>
      <c r="BY38" s="13">
        <v>4</v>
      </c>
      <c r="BZ38" s="14">
        <f t="shared" si="8"/>
        <v>0.52800000000000002</v>
      </c>
      <c r="CA38" s="13"/>
      <c r="CB38" s="14"/>
      <c r="CC38" s="13"/>
      <c r="CE38" s="13">
        <v>4</v>
      </c>
      <c r="CF38" s="13">
        <v>10</v>
      </c>
      <c r="CG38" s="13">
        <v>400</v>
      </c>
      <c r="CH38" s="13">
        <v>4</v>
      </c>
      <c r="CI38" s="14">
        <f t="shared" si="9"/>
        <v>6.4000000000000001E-2</v>
      </c>
      <c r="CJ38" s="37">
        <f>SUM(CH8:CH38)</f>
        <v>73</v>
      </c>
      <c r="CK38" s="36">
        <f>SUM(CI8:CI38)</f>
        <v>3.0480000000000005</v>
      </c>
      <c r="CL38" s="41" t="s">
        <v>21</v>
      </c>
      <c r="CN38" s="13">
        <v>4.5</v>
      </c>
      <c r="CO38" s="13">
        <v>13</v>
      </c>
      <c r="CP38" s="13">
        <v>400</v>
      </c>
      <c r="CQ38" s="13">
        <v>6</v>
      </c>
      <c r="CR38" s="14">
        <f t="shared" si="10"/>
        <v>0.1404</v>
      </c>
      <c r="CS38" s="13"/>
      <c r="CT38" s="14"/>
      <c r="CU38" s="13"/>
      <c r="CW38" s="13">
        <v>2.2000000000000002</v>
      </c>
      <c r="CX38" s="13">
        <v>10</v>
      </c>
      <c r="CY38" s="13">
        <v>300</v>
      </c>
      <c r="CZ38" s="13">
        <v>45</v>
      </c>
      <c r="DA38" s="14">
        <f t="shared" si="15"/>
        <v>0.29699999999999999</v>
      </c>
      <c r="DB38" s="13"/>
      <c r="DC38" s="14"/>
      <c r="DD38" s="13"/>
      <c r="DF38" s="13">
        <v>13</v>
      </c>
      <c r="DG38" s="13">
        <v>20</v>
      </c>
      <c r="DH38" s="13">
        <v>400</v>
      </c>
      <c r="DI38" s="13">
        <v>4</v>
      </c>
      <c r="DJ38" s="14">
        <f t="shared" si="12"/>
        <v>0.41599999999999998</v>
      </c>
      <c r="DK38" s="13"/>
      <c r="DL38" s="14"/>
      <c r="DM38" s="13"/>
    </row>
    <row r="39" spans="2:117" ht="15.75" x14ac:dyDescent="0.25">
      <c r="B39" s="13">
        <v>15</v>
      </c>
      <c r="C39" s="13">
        <v>15</v>
      </c>
      <c r="D39" s="13">
        <v>400</v>
      </c>
      <c r="E39" s="13">
        <v>5</v>
      </c>
      <c r="F39" s="20">
        <f t="shared" si="14"/>
        <v>0.45</v>
      </c>
      <c r="G39" s="13">
        <f>SUM(E36:E39)</f>
        <v>16</v>
      </c>
      <c r="H39" s="14">
        <f>SUM(F36:F39)</f>
        <v>1.8779999999999999</v>
      </c>
      <c r="I39" s="13"/>
      <c r="K39" s="13">
        <v>4.2</v>
      </c>
      <c r="L39" s="13">
        <v>10</v>
      </c>
      <c r="M39" s="13">
        <v>400</v>
      </c>
      <c r="N39" s="13">
        <v>50</v>
      </c>
      <c r="O39" s="14">
        <f t="shared" si="1"/>
        <v>0.84</v>
      </c>
      <c r="P39" s="13"/>
      <c r="Q39" s="14"/>
      <c r="R39" s="13"/>
      <c r="T39" s="13">
        <v>3.5</v>
      </c>
      <c r="U39" s="13">
        <v>15</v>
      </c>
      <c r="V39" s="13">
        <v>400</v>
      </c>
      <c r="W39" s="13">
        <v>3</v>
      </c>
      <c r="X39" s="14">
        <f t="shared" si="2"/>
        <v>6.3E-2</v>
      </c>
      <c r="Y39" s="13"/>
      <c r="Z39" s="14"/>
      <c r="AA39" s="13"/>
      <c r="AC39" s="13">
        <v>3.5</v>
      </c>
      <c r="AD39" s="13">
        <v>23</v>
      </c>
      <c r="AE39" s="13">
        <v>400</v>
      </c>
      <c r="AF39" s="13">
        <v>1</v>
      </c>
      <c r="AG39" s="14">
        <f t="shared" si="3"/>
        <v>3.2199999999999999E-2</v>
      </c>
      <c r="AH39" s="13"/>
      <c r="AI39" s="14"/>
      <c r="AJ39" s="13"/>
      <c r="AL39" s="13">
        <v>10</v>
      </c>
      <c r="AM39" s="13">
        <v>15</v>
      </c>
      <c r="AN39" s="13">
        <v>400</v>
      </c>
      <c r="AO39" s="13">
        <v>2</v>
      </c>
      <c r="AP39" s="14">
        <f t="shared" si="13"/>
        <v>0.12</v>
      </c>
      <c r="AQ39" s="13">
        <f>SUM(AO34:AO39)</f>
        <v>20</v>
      </c>
      <c r="AR39" s="14">
        <f>SUM(AP34:AP39)</f>
        <v>1.8040000000000003</v>
      </c>
      <c r="AS39" s="13"/>
      <c r="AU39" s="13">
        <v>5</v>
      </c>
      <c r="AV39" s="13">
        <v>15</v>
      </c>
      <c r="AW39" s="13">
        <v>400</v>
      </c>
      <c r="AX39" s="13">
        <v>1</v>
      </c>
      <c r="AY39" s="14">
        <f t="shared" si="5"/>
        <v>0.03</v>
      </c>
      <c r="AZ39" s="13"/>
      <c r="BA39" s="14"/>
      <c r="BB39" s="13"/>
      <c r="BD39" s="13">
        <v>12</v>
      </c>
      <c r="BE39" s="13">
        <v>12</v>
      </c>
      <c r="BF39" s="13">
        <v>400</v>
      </c>
      <c r="BG39" s="13">
        <v>1</v>
      </c>
      <c r="BH39" s="14">
        <f t="shared" si="6"/>
        <v>5.7599999999999998E-2</v>
      </c>
      <c r="BI39" s="13"/>
      <c r="BJ39" s="14"/>
      <c r="BK39" s="13"/>
      <c r="BM39" s="13">
        <v>8</v>
      </c>
      <c r="BN39" s="13">
        <v>10</v>
      </c>
      <c r="BO39" s="13">
        <v>400</v>
      </c>
      <c r="BP39" s="13">
        <v>4</v>
      </c>
      <c r="BQ39" s="14">
        <f t="shared" si="7"/>
        <v>0.128</v>
      </c>
      <c r="BR39" s="13"/>
      <c r="BS39" s="14"/>
      <c r="BT39" s="13"/>
      <c r="BV39" s="13">
        <v>13</v>
      </c>
      <c r="BW39" s="13">
        <v>30</v>
      </c>
      <c r="BX39" s="13">
        <v>400</v>
      </c>
      <c r="BY39" s="13">
        <v>1</v>
      </c>
      <c r="BZ39" s="14">
        <f t="shared" si="8"/>
        <v>0.156</v>
      </c>
      <c r="CA39" s="13"/>
      <c r="CB39" s="14"/>
      <c r="CC39" s="13"/>
      <c r="CE39" s="13">
        <v>15</v>
      </c>
      <c r="CF39" s="13">
        <v>25</v>
      </c>
      <c r="CG39" s="13">
        <v>400</v>
      </c>
      <c r="CH39" s="13">
        <v>4</v>
      </c>
      <c r="CI39" s="14">
        <f t="shared" si="9"/>
        <v>0.6</v>
      </c>
      <c r="CJ39" s="13"/>
      <c r="CK39" s="14"/>
      <c r="CL39" s="13"/>
      <c r="CN39" s="13">
        <v>2.2000000000000002</v>
      </c>
      <c r="CO39" s="13">
        <v>13</v>
      </c>
      <c r="CP39" s="13">
        <v>400</v>
      </c>
      <c r="CQ39" s="13">
        <v>3</v>
      </c>
      <c r="CR39" s="14">
        <f t="shared" si="10"/>
        <v>3.4320000000000003E-2</v>
      </c>
      <c r="CS39" s="13"/>
      <c r="CT39" s="14"/>
      <c r="CU39" s="13"/>
      <c r="CW39" s="13">
        <v>1.7</v>
      </c>
      <c r="CX39" s="13">
        <v>10</v>
      </c>
      <c r="CY39" s="13">
        <v>300</v>
      </c>
      <c r="CZ39" s="13">
        <v>8</v>
      </c>
      <c r="DA39" s="14">
        <f t="shared" si="15"/>
        <v>4.0800000000000003E-2</v>
      </c>
      <c r="DB39" s="13"/>
      <c r="DC39" s="14"/>
      <c r="DD39" s="13"/>
      <c r="DF39" s="13">
        <v>2.2000000000000002</v>
      </c>
      <c r="DG39" s="13">
        <v>20</v>
      </c>
      <c r="DH39" s="13">
        <v>400</v>
      </c>
      <c r="DI39" s="13">
        <v>5</v>
      </c>
      <c r="DJ39" s="14">
        <f t="shared" si="12"/>
        <v>8.7999999999999995E-2</v>
      </c>
      <c r="DK39" s="13"/>
      <c r="DL39" s="14"/>
      <c r="DM39" s="13"/>
    </row>
    <row r="40" spans="2:117" ht="15.75" x14ac:dyDescent="0.25">
      <c r="B40" s="13">
        <v>12</v>
      </c>
      <c r="C40" s="13">
        <v>15</v>
      </c>
      <c r="D40" s="13">
        <v>400</v>
      </c>
      <c r="E40" s="13">
        <v>4</v>
      </c>
      <c r="F40" s="20">
        <f t="shared" si="14"/>
        <v>0.28799999999999998</v>
      </c>
      <c r="G40" s="13">
        <f>SUM(E40)</f>
        <v>4</v>
      </c>
      <c r="H40" s="14">
        <f>SUM(F40)</f>
        <v>0.28799999999999998</v>
      </c>
      <c r="I40" s="13"/>
      <c r="K40" s="122">
        <v>4.2</v>
      </c>
      <c r="L40" s="122">
        <v>7</v>
      </c>
      <c r="M40" s="122">
        <v>400</v>
      </c>
      <c r="N40" s="122">
        <v>20</v>
      </c>
      <c r="O40" s="123">
        <f t="shared" ref="O40:O61" si="16">K40*L40*M40*N40/1000000</f>
        <v>0.23519999999999999</v>
      </c>
      <c r="P40" s="122"/>
      <c r="Q40" s="123"/>
      <c r="R40" s="122"/>
      <c r="T40" s="13">
        <v>3.5</v>
      </c>
      <c r="U40" s="13">
        <v>13</v>
      </c>
      <c r="V40" s="13">
        <v>400</v>
      </c>
      <c r="W40" s="13">
        <v>2</v>
      </c>
      <c r="X40" s="14">
        <f t="shared" si="2"/>
        <v>3.6400000000000002E-2</v>
      </c>
      <c r="Y40" s="13"/>
      <c r="Z40" s="14"/>
      <c r="AA40" s="13"/>
      <c r="AC40" s="13">
        <v>3.5</v>
      </c>
      <c r="AD40" s="13">
        <v>18</v>
      </c>
      <c r="AE40" s="13">
        <v>400</v>
      </c>
      <c r="AF40" s="13">
        <v>3</v>
      </c>
      <c r="AG40" s="14">
        <f t="shared" si="3"/>
        <v>7.5600000000000001E-2</v>
      </c>
      <c r="AH40" s="13"/>
      <c r="AI40" s="14"/>
      <c r="AJ40" s="13"/>
      <c r="AL40" s="13">
        <v>7</v>
      </c>
      <c r="AM40" s="13">
        <v>25</v>
      </c>
      <c r="AN40" s="13">
        <v>400</v>
      </c>
      <c r="AO40" s="13">
        <v>1</v>
      </c>
      <c r="AP40" s="14">
        <f t="shared" si="13"/>
        <v>7.0000000000000007E-2</v>
      </c>
      <c r="AQ40" s="13"/>
      <c r="AR40" s="14"/>
      <c r="AS40" s="13"/>
      <c r="AU40" s="13">
        <v>4</v>
      </c>
      <c r="AV40" s="13">
        <v>15</v>
      </c>
      <c r="AW40" s="13">
        <v>400</v>
      </c>
      <c r="AX40" s="13">
        <v>1</v>
      </c>
      <c r="AY40" s="14">
        <f t="shared" si="5"/>
        <v>2.4E-2</v>
      </c>
      <c r="AZ40" s="13"/>
      <c r="BA40" s="14"/>
      <c r="BB40" s="13"/>
      <c r="BD40" s="13">
        <v>10</v>
      </c>
      <c r="BE40" s="13">
        <v>10</v>
      </c>
      <c r="BF40" s="13">
        <v>400</v>
      </c>
      <c r="BG40" s="13">
        <v>2</v>
      </c>
      <c r="BH40" s="14">
        <f t="shared" si="6"/>
        <v>0.08</v>
      </c>
      <c r="BI40" s="13"/>
      <c r="BJ40" s="14"/>
      <c r="BK40" s="13"/>
      <c r="BM40" s="122">
        <v>5</v>
      </c>
      <c r="BN40" s="122">
        <v>7</v>
      </c>
      <c r="BO40" s="122">
        <v>400</v>
      </c>
      <c r="BP40" s="122">
        <v>104</v>
      </c>
      <c r="BQ40" s="123">
        <f t="shared" si="7"/>
        <v>1.456</v>
      </c>
      <c r="BR40" s="122"/>
      <c r="BS40" s="123"/>
      <c r="BT40" s="122"/>
      <c r="BV40" s="13">
        <v>10</v>
      </c>
      <c r="BW40" s="13">
        <v>28</v>
      </c>
      <c r="BX40" s="13">
        <v>400</v>
      </c>
      <c r="BY40" s="13">
        <v>1</v>
      </c>
      <c r="BZ40" s="14">
        <f t="shared" ref="BZ40:BZ71" si="17">BV40*BW40*BX40*BY40/1000000</f>
        <v>0.112</v>
      </c>
      <c r="CA40" s="13"/>
      <c r="CB40" s="14"/>
      <c r="CC40" s="13"/>
      <c r="CE40" s="13">
        <v>15</v>
      </c>
      <c r="CF40" s="13">
        <v>30</v>
      </c>
      <c r="CG40" s="13">
        <v>400</v>
      </c>
      <c r="CH40" s="13">
        <v>7</v>
      </c>
      <c r="CI40" s="14">
        <f t="shared" si="9"/>
        <v>1.26</v>
      </c>
      <c r="CJ40" s="13"/>
      <c r="CK40" s="14"/>
      <c r="CL40" s="13"/>
      <c r="CN40" s="13">
        <v>3.5</v>
      </c>
      <c r="CO40" s="13">
        <v>13</v>
      </c>
      <c r="CP40" s="13">
        <v>400</v>
      </c>
      <c r="CQ40" s="13">
        <v>1</v>
      </c>
      <c r="CR40" s="14">
        <f t="shared" si="10"/>
        <v>1.8200000000000001E-2</v>
      </c>
      <c r="CS40" s="13"/>
      <c r="CT40" s="14"/>
      <c r="CU40" s="13"/>
      <c r="CW40" s="13">
        <v>2.2000000000000002</v>
      </c>
      <c r="CX40" s="13">
        <v>30</v>
      </c>
      <c r="CY40" s="13">
        <v>300</v>
      </c>
      <c r="CZ40" s="13">
        <v>1</v>
      </c>
      <c r="DA40" s="14">
        <f t="shared" si="15"/>
        <v>1.9800000000000002E-2</v>
      </c>
      <c r="DB40" s="13"/>
      <c r="DC40" s="14"/>
      <c r="DD40" s="13"/>
      <c r="DF40" s="13">
        <v>7</v>
      </c>
      <c r="DG40" s="13">
        <v>13</v>
      </c>
      <c r="DH40" s="13">
        <v>400</v>
      </c>
      <c r="DI40" s="13">
        <v>2</v>
      </c>
      <c r="DJ40" s="14">
        <f t="shared" si="12"/>
        <v>7.2800000000000004E-2</v>
      </c>
      <c r="DK40" s="13"/>
      <c r="DL40" s="14"/>
      <c r="DM40" s="13"/>
    </row>
    <row r="41" spans="2:117" ht="15.75" x14ac:dyDescent="0.25">
      <c r="B41" s="13">
        <v>10</v>
      </c>
      <c r="C41" s="13">
        <v>33</v>
      </c>
      <c r="D41" s="13">
        <v>400</v>
      </c>
      <c r="E41" s="13">
        <v>2</v>
      </c>
      <c r="F41" s="20">
        <f t="shared" si="14"/>
        <v>0.26400000000000001</v>
      </c>
      <c r="G41" s="13"/>
      <c r="H41" s="14"/>
      <c r="I41" s="13"/>
      <c r="K41" s="122">
        <v>4</v>
      </c>
      <c r="L41" s="122">
        <v>6</v>
      </c>
      <c r="M41" s="122">
        <v>300</v>
      </c>
      <c r="N41" s="122">
        <v>6</v>
      </c>
      <c r="O41" s="123">
        <f t="shared" si="16"/>
        <v>4.3200000000000002E-2</v>
      </c>
      <c r="P41" s="122">
        <f>SUM(N37:N41)</f>
        <v>82</v>
      </c>
      <c r="Q41" s="123">
        <f>SUM(O37:O41)</f>
        <v>1.3506</v>
      </c>
      <c r="R41" s="122"/>
      <c r="T41" s="13">
        <v>3.5</v>
      </c>
      <c r="U41" s="13">
        <v>10</v>
      </c>
      <c r="V41" s="13">
        <v>400</v>
      </c>
      <c r="W41" s="13">
        <v>1</v>
      </c>
      <c r="X41" s="14">
        <f t="shared" si="2"/>
        <v>1.4E-2</v>
      </c>
      <c r="Y41" s="13">
        <f>SUM(W37:W41)</f>
        <v>10</v>
      </c>
      <c r="Z41" s="14">
        <f>SUM(X37:X41)</f>
        <v>0.22260000000000002</v>
      </c>
      <c r="AA41" s="13"/>
      <c r="AC41" s="13">
        <v>3.5</v>
      </c>
      <c r="AD41" s="13">
        <v>15</v>
      </c>
      <c r="AE41" s="13">
        <v>400</v>
      </c>
      <c r="AF41" s="13">
        <v>4</v>
      </c>
      <c r="AG41" s="14">
        <f t="shared" si="3"/>
        <v>8.4000000000000005E-2</v>
      </c>
      <c r="AH41" s="13"/>
      <c r="AI41" s="14"/>
      <c r="AJ41" s="13"/>
      <c r="AL41" s="13">
        <v>7</v>
      </c>
      <c r="AM41" s="13">
        <v>23</v>
      </c>
      <c r="AN41" s="13">
        <v>400</v>
      </c>
      <c r="AO41" s="13">
        <v>1</v>
      </c>
      <c r="AP41" s="14">
        <f t="shared" si="13"/>
        <v>6.4399999999999999E-2</v>
      </c>
      <c r="AQ41" s="13"/>
      <c r="AR41" s="14"/>
      <c r="AS41" s="13"/>
      <c r="AU41" s="13">
        <v>6</v>
      </c>
      <c r="AV41" s="13">
        <v>15</v>
      </c>
      <c r="AW41" s="13">
        <v>400</v>
      </c>
      <c r="AX41" s="13">
        <v>6</v>
      </c>
      <c r="AY41" s="14">
        <f t="shared" si="5"/>
        <v>0.216</v>
      </c>
      <c r="AZ41" s="13"/>
      <c r="BA41" s="14"/>
      <c r="BB41" s="13"/>
      <c r="BD41" s="13">
        <v>6</v>
      </c>
      <c r="BE41" s="13">
        <v>10</v>
      </c>
      <c r="BF41" s="13">
        <v>400</v>
      </c>
      <c r="BG41" s="13">
        <v>2</v>
      </c>
      <c r="BH41" s="14">
        <f t="shared" si="6"/>
        <v>4.8000000000000001E-2</v>
      </c>
      <c r="BI41" s="13">
        <f>SUM(BG18:BG41)</f>
        <v>381</v>
      </c>
      <c r="BJ41" s="95">
        <f>SUM(BH18:BH41)</f>
        <v>4.7023999999999999</v>
      </c>
      <c r="BK41" s="41" t="s">
        <v>21</v>
      </c>
      <c r="BM41" s="122">
        <v>4</v>
      </c>
      <c r="BN41" s="122">
        <v>6</v>
      </c>
      <c r="BO41" s="122">
        <v>400</v>
      </c>
      <c r="BP41" s="122">
        <v>84</v>
      </c>
      <c r="BQ41" s="123">
        <f>BM41*BN41*BO41*BP41/1000000</f>
        <v>0.80640000000000001</v>
      </c>
      <c r="BR41" s="122"/>
      <c r="BS41" s="123"/>
      <c r="BT41" s="122"/>
      <c r="BV41" s="13">
        <v>3.5</v>
      </c>
      <c r="BW41" s="13">
        <v>25</v>
      </c>
      <c r="BX41" s="13">
        <v>400</v>
      </c>
      <c r="BY41" s="13">
        <v>1</v>
      </c>
      <c r="BZ41" s="14">
        <f t="shared" si="17"/>
        <v>3.5000000000000003E-2</v>
      </c>
      <c r="CA41" s="13"/>
      <c r="CB41" s="14"/>
      <c r="CC41" s="13"/>
      <c r="CE41" s="13">
        <v>15</v>
      </c>
      <c r="CF41" s="13">
        <v>28</v>
      </c>
      <c r="CG41" s="13">
        <v>400</v>
      </c>
      <c r="CH41" s="13">
        <v>1</v>
      </c>
      <c r="CI41" s="14">
        <f t="shared" si="9"/>
        <v>0.16800000000000001</v>
      </c>
      <c r="CJ41" s="13"/>
      <c r="CK41" s="14"/>
      <c r="CL41" s="13"/>
      <c r="CN41" s="13">
        <v>7</v>
      </c>
      <c r="CO41" s="13">
        <v>13</v>
      </c>
      <c r="CP41" s="13">
        <v>400</v>
      </c>
      <c r="CQ41" s="13">
        <v>1</v>
      </c>
      <c r="CR41" s="14">
        <f t="shared" si="10"/>
        <v>3.6400000000000002E-2</v>
      </c>
      <c r="CS41" s="13"/>
      <c r="CT41" s="14"/>
      <c r="CU41" s="13"/>
      <c r="CW41" s="13">
        <v>4.5</v>
      </c>
      <c r="CX41" s="13">
        <v>15</v>
      </c>
      <c r="CY41" s="13">
        <v>300</v>
      </c>
      <c r="CZ41" s="13">
        <v>10</v>
      </c>
      <c r="DA41" s="14">
        <f t="shared" si="15"/>
        <v>0.20250000000000001</v>
      </c>
      <c r="DB41" s="13"/>
      <c r="DC41" s="14"/>
      <c r="DD41" s="13"/>
      <c r="DF41" s="13">
        <v>13</v>
      </c>
      <c r="DG41" s="13">
        <v>15</v>
      </c>
      <c r="DH41" s="13">
        <v>400</v>
      </c>
      <c r="DI41" s="13">
        <v>4</v>
      </c>
      <c r="DJ41" s="14">
        <f t="shared" si="12"/>
        <v>0.312</v>
      </c>
      <c r="DK41" s="13"/>
      <c r="DL41" s="14"/>
      <c r="DM41" s="13"/>
    </row>
    <row r="42" spans="2:117" ht="15.75" x14ac:dyDescent="0.25">
      <c r="B42" s="13">
        <v>10</v>
      </c>
      <c r="C42" s="13">
        <v>30</v>
      </c>
      <c r="D42" s="13">
        <v>400</v>
      </c>
      <c r="E42" s="13">
        <v>8</v>
      </c>
      <c r="F42" s="20">
        <f t="shared" si="14"/>
        <v>0.96</v>
      </c>
      <c r="G42" s="13"/>
      <c r="H42" s="14"/>
      <c r="I42" s="13"/>
      <c r="K42" s="13">
        <v>3.5</v>
      </c>
      <c r="L42" s="13">
        <v>30</v>
      </c>
      <c r="M42" s="13">
        <v>400</v>
      </c>
      <c r="N42" s="13">
        <v>1</v>
      </c>
      <c r="O42" s="14">
        <f t="shared" si="16"/>
        <v>4.2000000000000003E-2</v>
      </c>
      <c r="P42" s="13"/>
      <c r="Q42" s="14"/>
      <c r="R42" s="13"/>
      <c r="T42" s="13">
        <v>2.2000000000000002</v>
      </c>
      <c r="U42" s="13">
        <v>25</v>
      </c>
      <c r="V42" s="13">
        <v>400</v>
      </c>
      <c r="W42" s="13">
        <v>1</v>
      </c>
      <c r="X42" s="14">
        <f t="shared" si="2"/>
        <v>2.2000000000000002E-2</v>
      </c>
      <c r="Y42" s="13"/>
      <c r="Z42" s="14"/>
      <c r="AA42" s="13"/>
      <c r="AC42" s="13">
        <v>3.5</v>
      </c>
      <c r="AD42" s="13">
        <v>13</v>
      </c>
      <c r="AE42" s="13">
        <v>400</v>
      </c>
      <c r="AF42" s="13">
        <v>1</v>
      </c>
      <c r="AG42" s="14">
        <f t="shared" si="3"/>
        <v>1.8200000000000001E-2</v>
      </c>
      <c r="AH42" s="13"/>
      <c r="AI42" s="14"/>
      <c r="AJ42" s="13"/>
      <c r="AL42" s="13">
        <v>7</v>
      </c>
      <c r="AM42" s="13">
        <v>20</v>
      </c>
      <c r="AN42" s="13">
        <v>400</v>
      </c>
      <c r="AO42" s="13">
        <v>1</v>
      </c>
      <c r="AP42" s="14">
        <f t="shared" si="13"/>
        <v>5.6000000000000001E-2</v>
      </c>
      <c r="AQ42" s="13"/>
      <c r="AR42" s="14"/>
      <c r="AS42" s="13"/>
      <c r="AU42" s="13">
        <v>6</v>
      </c>
      <c r="AV42" s="13">
        <v>12</v>
      </c>
      <c r="AW42" s="13">
        <v>400</v>
      </c>
      <c r="AX42" s="13">
        <v>15</v>
      </c>
      <c r="AY42" s="14">
        <f t="shared" si="5"/>
        <v>0.432</v>
      </c>
      <c r="AZ42" s="13"/>
      <c r="BA42" s="14"/>
      <c r="BB42" s="13"/>
      <c r="BD42" s="119">
        <v>5</v>
      </c>
      <c r="BE42" s="119">
        <v>7</v>
      </c>
      <c r="BF42" s="119">
        <v>300</v>
      </c>
      <c r="BG42" s="119">
        <v>8</v>
      </c>
      <c r="BH42" s="120">
        <f t="shared" ref="BH42:BH58" si="18">BD42*BE42*BF42*BG42/1000000</f>
        <v>8.4000000000000005E-2</v>
      </c>
      <c r="BI42" s="119"/>
      <c r="BJ42" s="120"/>
      <c r="BK42" s="119"/>
      <c r="BM42" s="122">
        <v>3</v>
      </c>
      <c r="BN42" s="122">
        <v>5</v>
      </c>
      <c r="BO42" s="122">
        <v>400</v>
      </c>
      <c r="BP42" s="122">
        <v>170</v>
      </c>
      <c r="BQ42" s="123">
        <f>BM42*BN42*BO42*BP42/1000000</f>
        <v>1.02</v>
      </c>
      <c r="BR42" s="122"/>
      <c r="BS42" s="123"/>
      <c r="BT42" s="122"/>
      <c r="BV42" s="13">
        <v>7</v>
      </c>
      <c r="BW42" s="13">
        <v>30</v>
      </c>
      <c r="BX42" s="13">
        <v>400</v>
      </c>
      <c r="BY42" s="13">
        <v>1</v>
      </c>
      <c r="BZ42" s="14">
        <f t="shared" si="17"/>
        <v>8.4000000000000005E-2</v>
      </c>
      <c r="CA42" s="13"/>
      <c r="CB42" s="14"/>
      <c r="CC42" s="13"/>
      <c r="CE42" s="13">
        <v>8</v>
      </c>
      <c r="CF42" s="13">
        <v>30</v>
      </c>
      <c r="CG42" s="13">
        <v>400</v>
      </c>
      <c r="CH42" s="13">
        <v>1</v>
      </c>
      <c r="CI42" s="14">
        <f t="shared" si="9"/>
        <v>9.6000000000000002E-2</v>
      </c>
      <c r="CJ42" s="13"/>
      <c r="CK42" s="14"/>
      <c r="CL42" s="13"/>
      <c r="CN42" s="13">
        <v>10</v>
      </c>
      <c r="CO42" s="13">
        <v>13</v>
      </c>
      <c r="CP42" s="13">
        <v>400</v>
      </c>
      <c r="CQ42" s="13">
        <v>1</v>
      </c>
      <c r="CR42" s="14">
        <f t="shared" si="10"/>
        <v>5.1999999999999998E-2</v>
      </c>
      <c r="CS42" s="13"/>
      <c r="CT42" s="14"/>
      <c r="CU42" s="13"/>
      <c r="CW42" s="13">
        <v>2.2000000000000002</v>
      </c>
      <c r="CX42" s="13">
        <v>15</v>
      </c>
      <c r="CY42" s="13">
        <v>300</v>
      </c>
      <c r="CZ42" s="13">
        <v>8</v>
      </c>
      <c r="DA42" s="14">
        <f t="shared" si="15"/>
        <v>7.9200000000000007E-2</v>
      </c>
      <c r="DB42" s="13"/>
      <c r="DC42" s="14"/>
      <c r="DD42" s="13"/>
      <c r="DF42" s="13">
        <v>15</v>
      </c>
      <c r="DG42" s="13">
        <v>15</v>
      </c>
      <c r="DH42" s="13">
        <v>400</v>
      </c>
      <c r="DI42" s="13">
        <v>3</v>
      </c>
      <c r="DJ42" s="14">
        <f t="shared" si="12"/>
        <v>0.27</v>
      </c>
      <c r="DK42" s="13"/>
      <c r="DL42" s="96"/>
      <c r="DM42" s="13"/>
    </row>
    <row r="43" spans="2:117" ht="15.75" x14ac:dyDescent="0.25">
      <c r="B43" s="13">
        <v>10</v>
      </c>
      <c r="C43" s="13">
        <v>25</v>
      </c>
      <c r="D43" s="13">
        <v>400</v>
      </c>
      <c r="E43" s="13">
        <v>13</v>
      </c>
      <c r="F43" s="20">
        <f t="shared" si="14"/>
        <v>1.3</v>
      </c>
      <c r="G43" s="13"/>
      <c r="H43" s="14"/>
      <c r="I43" s="13"/>
      <c r="K43" s="13">
        <v>3.5</v>
      </c>
      <c r="L43" s="13">
        <v>28</v>
      </c>
      <c r="M43" s="13">
        <v>400</v>
      </c>
      <c r="N43" s="13">
        <v>1</v>
      </c>
      <c r="O43" s="14">
        <f t="shared" si="16"/>
        <v>3.9199999999999999E-2</v>
      </c>
      <c r="P43" s="13"/>
      <c r="Q43" s="14"/>
      <c r="R43" s="13"/>
      <c r="T43" s="13">
        <v>2.2000000000000002</v>
      </c>
      <c r="U43" s="13">
        <v>20</v>
      </c>
      <c r="V43" s="13">
        <v>400</v>
      </c>
      <c r="W43" s="13">
        <v>9</v>
      </c>
      <c r="X43" s="14">
        <f t="shared" si="2"/>
        <v>0.15840000000000001</v>
      </c>
      <c r="Y43" s="13"/>
      <c r="Z43" s="14"/>
      <c r="AA43" s="13"/>
      <c r="AC43" s="122">
        <v>3</v>
      </c>
      <c r="AD43" s="122">
        <v>5</v>
      </c>
      <c r="AE43" s="122">
        <v>400</v>
      </c>
      <c r="AF43" s="122">
        <v>20</v>
      </c>
      <c r="AG43" s="123">
        <f t="shared" si="3"/>
        <v>0.12</v>
      </c>
      <c r="AH43" s="122">
        <f>SUM(AF38:AF43)</f>
        <v>30</v>
      </c>
      <c r="AI43" s="123">
        <f>SUM(AG38:AG43)</f>
        <v>0.36499999999999999</v>
      </c>
      <c r="AJ43" s="122"/>
      <c r="AL43" s="13">
        <v>7</v>
      </c>
      <c r="AM43" s="13">
        <v>18</v>
      </c>
      <c r="AN43" s="13">
        <v>400</v>
      </c>
      <c r="AO43" s="13">
        <v>1</v>
      </c>
      <c r="AP43" s="14">
        <f t="shared" si="13"/>
        <v>5.04E-2</v>
      </c>
      <c r="AQ43" s="13"/>
      <c r="AR43" s="14"/>
      <c r="AS43" s="13"/>
      <c r="AU43" s="13">
        <v>5</v>
      </c>
      <c r="AV43" s="13">
        <v>12</v>
      </c>
      <c r="AW43" s="13">
        <v>400</v>
      </c>
      <c r="AX43" s="13">
        <v>3</v>
      </c>
      <c r="AY43" s="14">
        <f t="shared" si="5"/>
        <v>7.1999999999999995E-2</v>
      </c>
      <c r="AZ43" s="13"/>
      <c r="BA43" s="14"/>
      <c r="BB43" s="13"/>
      <c r="BD43" s="119">
        <v>4</v>
      </c>
      <c r="BE43" s="119">
        <v>6</v>
      </c>
      <c r="BF43" s="119">
        <v>300</v>
      </c>
      <c r="BG43" s="119">
        <v>30</v>
      </c>
      <c r="BH43" s="120">
        <f t="shared" si="18"/>
        <v>0.216</v>
      </c>
      <c r="BI43" s="119"/>
      <c r="BJ43" s="120"/>
      <c r="BK43" s="119"/>
      <c r="BM43" s="130">
        <v>2</v>
      </c>
      <c r="BN43" s="130">
        <v>3</v>
      </c>
      <c r="BO43" s="130">
        <v>400</v>
      </c>
      <c r="BP43" s="130">
        <v>100</v>
      </c>
      <c r="BQ43" s="131">
        <f>BM43*BN43*BO43*BP43/1000000</f>
        <v>0.24</v>
      </c>
      <c r="BR43" s="122"/>
      <c r="BS43" s="124"/>
      <c r="BT43" s="122"/>
      <c r="BV43" s="13">
        <v>10</v>
      </c>
      <c r="BW43" s="13">
        <v>30</v>
      </c>
      <c r="BX43" s="13">
        <v>400</v>
      </c>
      <c r="BY43" s="13">
        <v>1</v>
      </c>
      <c r="BZ43" s="14">
        <f t="shared" si="17"/>
        <v>0.12</v>
      </c>
      <c r="CA43" s="13"/>
      <c r="CB43" s="14"/>
      <c r="CC43" s="13"/>
      <c r="CE43" s="13">
        <v>10</v>
      </c>
      <c r="CF43" s="13">
        <v>25</v>
      </c>
      <c r="CG43" s="13">
        <v>400</v>
      </c>
      <c r="CH43" s="13">
        <v>8</v>
      </c>
      <c r="CI43" s="14">
        <f t="shared" si="9"/>
        <v>0.8</v>
      </c>
      <c r="CJ43" s="13"/>
      <c r="CK43" s="14"/>
      <c r="CL43" s="13"/>
      <c r="CN43" s="13">
        <v>2.2000000000000002</v>
      </c>
      <c r="CO43" s="13">
        <v>10</v>
      </c>
      <c r="CP43" s="13">
        <v>400</v>
      </c>
      <c r="CQ43" s="13">
        <v>20</v>
      </c>
      <c r="CR43" s="14">
        <f t="shared" si="10"/>
        <v>0.17599999999999999</v>
      </c>
      <c r="CS43" s="13"/>
      <c r="CT43" s="14"/>
      <c r="CU43" s="13"/>
      <c r="CW43" s="13">
        <v>2.2000000000000002</v>
      </c>
      <c r="CX43" s="13">
        <v>13</v>
      </c>
      <c r="CY43" s="13">
        <v>300</v>
      </c>
      <c r="CZ43" s="13">
        <v>5</v>
      </c>
      <c r="DA43" s="14">
        <f t="shared" si="15"/>
        <v>4.2900000000000001E-2</v>
      </c>
      <c r="DB43" s="13"/>
      <c r="DC43" s="96"/>
      <c r="DD43" s="13"/>
      <c r="DF43" s="61">
        <v>8</v>
      </c>
      <c r="DG43" s="61">
        <v>15</v>
      </c>
      <c r="DH43" s="13">
        <v>400</v>
      </c>
      <c r="DI43" s="61">
        <v>1</v>
      </c>
      <c r="DJ43" s="63">
        <f t="shared" si="12"/>
        <v>4.8000000000000001E-2</v>
      </c>
      <c r="DK43" s="61"/>
      <c r="DL43" s="193"/>
      <c r="DM43" s="13"/>
    </row>
    <row r="44" spans="2:117" ht="15.75" x14ac:dyDescent="0.25">
      <c r="B44" s="13">
        <v>10</v>
      </c>
      <c r="C44" s="13">
        <v>23</v>
      </c>
      <c r="D44" s="13">
        <v>400</v>
      </c>
      <c r="E44" s="13">
        <v>1</v>
      </c>
      <c r="F44" s="20">
        <f t="shared" si="14"/>
        <v>9.1999999999999998E-2</v>
      </c>
      <c r="G44" s="13"/>
      <c r="H44" s="14"/>
      <c r="I44" s="13"/>
      <c r="K44" s="13">
        <v>3.5</v>
      </c>
      <c r="L44" s="13">
        <v>23</v>
      </c>
      <c r="M44" s="13">
        <v>400</v>
      </c>
      <c r="N44" s="13">
        <v>3</v>
      </c>
      <c r="O44" s="14">
        <f t="shared" si="16"/>
        <v>9.6600000000000005E-2</v>
      </c>
      <c r="P44" s="13"/>
      <c r="Q44" s="14"/>
      <c r="R44" s="13"/>
      <c r="T44" s="13">
        <v>2.2000000000000002</v>
      </c>
      <c r="U44" s="13">
        <v>18</v>
      </c>
      <c r="V44" s="13">
        <v>400</v>
      </c>
      <c r="W44" s="13">
        <v>1</v>
      </c>
      <c r="X44" s="14">
        <f t="shared" si="2"/>
        <v>1.584E-2</v>
      </c>
      <c r="Y44" s="13"/>
      <c r="Z44" s="14"/>
      <c r="AA44" s="13"/>
      <c r="AC44" s="13">
        <v>2.2000000000000002</v>
      </c>
      <c r="AD44" s="13">
        <v>30</v>
      </c>
      <c r="AE44" s="13">
        <v>400</v>
      </c>
      <c r="AF44" s="13">
        <v>1</v>
      </c>
      <c r="AG44" s="14">
        <f t="shared" si="3"/>
        <v>2.64E-2</v>
      </c>
      <c r="AH44" s="13"/>
      <c r="AI44" s="14"/>
      <c r="AJ44" s="13"/>
      <c r="AL44" s="13">
        <v>7</v>
      </c>
      <c r="AM44" s="13">
        <v>10</v>
      </c>
      <c r="AN44" s="13">
        <v>400</v>
      </c>
      <c r="AO44" s="13">
        <v>1</v>
      </c>
      <c r="AP44" s="14">
        <f t="shared" si="13"/>
        <v>2.8000000000000001E-2</v>
      </c>
      <c r="AQ44" s="13">
        <f>SUM(AO40:AO44)</f>
        <v>5</v>
      </c>
      <c r="AR44" s="14">
        <f>SUM(AP40:AP44)</f>
        <v>0.26880000000000004</v>
      </c>
      <c r="AS44" s="13"/>
      <c r="AU44" s="13">
        <v>10</v>
      </c>
      <c r="AV44" s="13">
        <v>12</v>
      </c>
      <c r="AW44" s="13">
        <v>400</v>
      </c>
      <c r="AX44" s="13">
        <v>1</v>
      </c>
      <c r="AY44" s="14">
        <f t="shared" si="5"/>
        <v>4.8000000000000001E-2</v>
      </c>
      <c r="AZ44" s="13"/>
      <c r="BA44" s="14"/>
      <c r="BB44" s="13"/>
      <c r="BD44" s="119">
        <v>3</v>
      </c>
      <c r="BE44" s="119">
        <v>5</v>
      </c>
      <c r="BF44" s="119">
        <v>300</v>
      </c>
      <c r="BG44" s="119">
        <v>30</v>
      </c>
      <c r="BH44" s="120">
        <f t="shared" si="18"/>
        <v>0.13500000000000001</v>
      </c>
      <c r="BI44" s="119"/>
      <c r="BJ44" s="120"/>
      <c r="BK44" s="119"/>
      <c r="BM44" s="122">
        <v>3</v>
      </c>
      <c r="BN44" s="122">
        <v>5</v>
      </c>
      <c r="BO44" s="122">
        <v>300</v>
      </c>
      <c r="BP44" s="122">
        <v>50</v>
      </c>
      <c r="BQ44" s="132">
        <f>BM44*BN44*BO44*BP44/1000000</f>
        <v>0.22500000000000001</v>
      </c>
      <c r="BR44" s="133">
        <f>SUM(BP8:BP44)</f>
        <v>733</v>
      </c>
      <c r="BS44" s="134">
        <f>SUM(BQ8:BQ44)</f>
        <v>11.4382</v>
      </c>
      <c r="BT44" s="126" t="s">
        <v>23</v>
      </c>
      <c r="BV44" s="13">
        <v>4.5</v>
      </c>
      <c r="BW44" s="13">
        <v>15</v>
      </c>
      <c r="BX44" s="13">
        <v>400</v>
      </c>
      <c r="BY44" s="13">
        <v>25</v>
      </c>
      <c r="BZ44" s="14">
        <f t="shared" si="17"/>
        <v>0.67500000000000004</v>
      </c>
      <c r="CA44" s="13"/>
      <c r="CB44" s="14"/>
      <c r="CC44" s="13"/>
      <c r="CE44" s="13">
        <v>15</v>
      </c>
      <c r="CF44" s="13">
        <v>25</v>
      </c>
      <c r="CG44" s="13">
        <v>400</v>
      </c>
      <c r="CH44" s="13">
        <v>2</v>
      </c>
      <c r="CI44" s="14">
        <f t="shared" si="9"/>
        <v>0.3</v>
      </c>
      <c r="CJ44" s="13"/>
      <c r="CK44" s="14"/>
      <c r="CL44" s="13"/>
      <c r="CN44" s="13">
        <v>3.5</v>
      </c>
      <c r="CO44" s="13">
        <v>10</v>
      </c>
      <c r="CP44" s="13">
        <v>400</v>
      </c>
      <c r="CQ44" s="13">
        <v>4</v>
      </c>
      <c r="CR44" s="14">
        <f t="shared" si="10"/>
        <v>5.6000000000000001E-2</v>
      </c>
      <c r="CS44" s="13"/>
      <c r="CT44" s="14"/>
      <c r="CU44" s="13"/>
      <c r="CW44" s="61">
        <v>2.2000000000000002</v>
      </c>
      <c r="CX44" s="61">
        <v>20</v>
      </c>
      <c r="CY44" s="13">
        <v>300</v>
      </c>
      <c r="CZ44" s="61">
        <v>5</v>
      </c>
      <c r="DA44" s="63">
        <f t="shared" si="11"/>
        <v>6.6000000000000003E-2</v>
      </c>
      <c r="DB44" s="61">
        <f>SUM(CZ8:CZ44)</f>
        <v>411</v>
      </c>
      <c r="DC44" s="193">
        <f>SUM(DA8:DA44)</f>
        <v>9.9900199999999995</v>
      </c>
      <c r="DD44" s="70" t="s">
        <v>23</v>
      </c>
      <c r="DF44" s="61">
        <v>3.5</v>
      </c>
      <c r="DG44" s="61">
        <v>15</v>
      </c>
      <c r="DH44" s="61">
        <v>400</v>
      </c>
      <c r="DI44" s="61">
        <v>8</v>
      </c>
      <c r="DJ44" s="63">
        <f>DF44*DG44*DH44*DI44/1000000</f>
        <v>0.16800000000000001</v>
      </c>
      <c r="DK44" s="61"/>
      <c r="DL44" s="63"/>
      <c r="DM44" s="13"/>
    </row>
    <row r="45" spans="2:117" ht="15.75" x14ac:dyDescent="0.25">
      <c r="B45" s="13">
        <v>10</v>
      </c>
      <c r="C45" s="13">
        <v>20</v>
      </c>
      <c r="D45" s="13">
        <v>400</v>
      </c>
      <c r="E45" s="13">
        <v>6</v>
      </c>
      <c r="F45" s="20">
        <f t="shared" si="14"/>
        <v>0.48</v>
      </c>
      <c r="G45" s="13"/>
      <c r="H45" s="14"/>
      <c r="I45" s="13"/>
      <c r="K45" s="13">
        <v>3.5</v>
      </c>
      <c r="L45" s="13">
        <v>20</v>
      </c>
      <c r="M45" s="13">
        <v>400</v>
      </c>
      <c r="N45" s="13">
        <v>9</v>
      </c>
      <c r="O45" s="14">
        <f t="shared" si="16"/>
        <v>0.252</v>
      </c>
      <c r="P45" s="13"/>
      <c r="Q45" s="14"/>
      <c r="R45" s="13"/>
      <c r="T45" s="13">
        <v>2.2000000000000002</v>
      </c>
      <c r="U45" s="13">
        <v>15</v>
      </c>
      <c r="V45" s="13">
        <v>400</v>
      </c>
      <c r="W45" s="13">
        <v>9</v>
      </c>
      <c r="X45" s="14">
        <f t="shared" si="2"/>
        <v>0.1188</v>
      </c>
      <c r="Y45" s="13"/>
      <c r="Z45" s="14"/>
      <c r="AA45" s="13"/>
      <c r="AC45" s="13">
        <v>2.2000000000000002</v>
      </c>
      <c r="AD45" s="13">
        <v>25</v>
      </c>
      <c r="AE45" s="13">
        <v>400</v>
      </c>
      <c r="AF45" s="13">
        <v>3</v>
      </c>
      <c r="AG45" s="14">
        <f t="shared" si="3"/>
        <v>6.6000000000000017E-2</v>
      </c>
      <c r="AH45" s="13"/>
      <c r="AI45" s="14"/>
      <c r="AJ45" s="13"/>
      <c r="AL45" s="122">
        <v>5</v>
      </c>
      <c r="AM45" s="122">
        <v>7</v>
      </c>
      <c r="AN45" s="122">
        <v>400</v>
      </c>
      <c r="AO45" s="122">
        <v>248</v>
      </c>
      <c r="AP45" s="123">
        <f t="shared" si="13"/>
        <v>3.472</v>
      </c>
      <c r="AQ45" s="122">
        <f>SUM(AO45)</f>
        <v>248</v>
      </c>
      <c r="AR45" s="123">
        <f>SUM(AP45)</f>
        <v>3.472</v>
      </c>
      <c r="AS45" s="122"/>
      <c r="AU45" s="13">
        <v>2</v>
      </c>
      <c r="AV45" s="13">
        <v>12</v>
      </c>
      <c r="AW45" s="13">
        <v>400</v>
      </c>
      <c r="AX45" s="13">
        <v>1</v>
      </c>
      <c r="AY45" s="14">
        <f t="shared" si="5"/>
        <v>9.5999999999999992E-3</v>
      </c>
      <c r="AZ45" s="13"/>
      <c r="BA45" s="14"/>
      <c r="BB45" s="13"/>
      <c r="BD45" s="13">
        <v>2</v>
      </c>
      <c r="BE45" s="13">
        <v>10</v>
      </c>
      <c r="BF45" s="13">
        <v>300</v>
      </c>
      <c r="BG45" s="13">
        <v>13</v>
      </c>
      <c r="BH45" s="14">
        <f t="shared" si="18"/>
        <v>7.8E-2</v>
      </c>
      <c r="BI45" s="13"/>
      <c r="BJ45" s="14"/>
      <c r="BK45" s="13"/>
      <c r="BM45" s="105">
        <v>6</v>
      </c>
      <c r="BN45" s="105">
        <v>20</v>
      </c>
      <c r="BO45" s="105">
        <v>400</v>
      </c>
      <c r="BP45" s="105">
        <v>1</v>
      </c>
      <c r="BQ45" s="14">
        <f t="shared" ref="BQ45:BQ57" si="19">BM45*BN45*BO45*BP45/1000000</f>
        <v>4.8000000000000001E-2</v>
      </c>
      <c r="BR45" s="13"/>
      <c r="BS45" s="14"/>
      <c r="BT45" s="13"/>
      <c r="BV45" s="13">
        <v>8</v>
      </c>
      <c r="BW45" s="13">
        <v>20</v>
      </c>
      <c r="BX45" s="13">
        <v>400</v>
      </c>
      <c r="BY45" s="13">
        <v>2</v>
      </c>
      <c r="BZ45" s="14">
        <f t="shared" si="17"/>
        <v>0.128</v>
      </c>
      <c r="CA45" s="13"/>
      <c r="CB45" s="14"/>
      <c r="CC45" s="13"/>
      <c r="CE45" s="13">
        <v>7</v>
      </c>
      <c r="CF45" s="13">
        <v>25</v>
      </c>
      <c r="CG45" s="13">
        <v>400</v>
      </c>
      <c r="CH45" s="13">
        <v>1</v>
      </c>
      <c r="CI45" s="14">
        <f t="shared" si="9"/>
        <v>7.0000000000000007E-2</v>
      </c>
      <c r="CJ45" s="13"/>
      <c r="CK45" s="14"/>
      <c r="CL45" s="13"/>
      <c r="CN45" s="13">
        <v>4.5</v>
      </c>
      <c r="CO45" s="13">
        <v>10</v>
      </c>
      <c r="CP45" s="13">
        <v>400</v>
      </c>
      <c r="CQ45" s="13">
        <v>52</v>
      </c>
      <c r="CR45" s="14">
        <f t="shared" si="10"/>
        <v>0.93600000000000005</v>
      </c>
      <c r="CS45" s="13"/>
      <c r="CT45" s="14"/>
      <c r="CU45" s="13"/>
      <c r="CW45" s="122">
        <v>5</v>
      </c>
      <c r="CX45" s="122">
        <v>7</v>
      </c>
      <c r="CY45" s="122">
        <v>400</v>
      </c>
      <c r="CZ45" s="122">
        <v>36</v>
      </c>
      <c r="DA45" s="123">
        <f>CW45*CX45*CY45*CZ45/1000000</f>
        <v>0.504</v>
      </c>
      <c r="DB45" s="122"/>
      <c r="DC45" s="123"/>
      <c r="DD45" s="126"/>
      <c r="DF45" s="61">
        <v>10</v>
      </c>
      <c r="DG45" s="61">
        <v>13</v>
      </c>
      <c r="DH45" s="61">
        <v>400</v>
      </c>
      <c r="DI45" s="61">
        <v>2</v>
      </c>
      <c r="DJ45" s="63">
        <f>DF45*DG45*DH45*DI45/1000000</f>
        <v>0.104</v>
      </c>
      <c r="DK45" s="61">
        <f>SUM(DI8:DI45)</f>
        <v>292</v>
      </c>
      <c r="DL45" s="224">
        <f>SUM(DJ8:DJ45)</f>
        <v>12.115399999999998</v>
      </c>
      <c r="DM45" s="13"/>
    </row>
    <row r="46" spans="2:117" ht="15.75" x14ac:dyDescent="0.25">
      <c r="B46" s="13">
        <v>10</v>
      </c>
      <c r="C46" s="13">
        <v>18</v>
      </c>
      <c r="D46" s="13">
        <v>400</v>
      </c>
      <c r="E46" s="13">
        <v>1</v>
      </c>
      <c r="F46" s="20">
        <f t="shared" si="14"/>
        <v>7.1999999999999995E-2</v>
      </c>
      <c r="G46" s="13"/>
      <c r="H46" s="14"/>
      <c r="I46" s="13"/>
      <c r="K46" s="13">
        <v>3.5</v>
      </c>
      <c r="L46" s="13">
        <v>20</v>
      </c>
      <c r="M46" s="13">
        <v>400</v>
      </c>
      <c r="N46" s="13">
        <v>1</v>
      </c>
      <c r="O46" s="14">
        <f t="shared" si="16"/>
        <v>2.8000000000000001E-2</v>
      </c>
      <c r="P46" s="13"/>
      <c r="Q46" s="14"/>
      <c r="R46" s="13"/>
      <c r="T46" s="13">
        <v>2.2000000000000002</v>
      </c>
      <c r="U46" s="13">
        <v>13</v>
      </c>
      <c r="V46" s="13">
        <v>400</v>
      </c>
      <c r="W46" s="13">
        <v>13</v>
      </c>
      <c r="X46" s="14">
        <f t="shared" si="2"/>
        <v>0.14871999999999999</v>
      </c>
      <c r="Y46" s="13"/>
      <c r="Z46" s="14"/>
      <c r="AA46" s="13"/>
      <c r="AC46" s="13">
        <v>2.2000000000000002</v>
      </c>
      <c r="AD46" s="13">
        <v>25</v>
      </c>
      <c r="AE46" s="13">
        <v>400</v>
      </c>
      <c r="AF46" s="13">
        <v>1</v>
      </c>
      <c r="AG46" s="14">
        <f t="shared" si="3"/>
        <v>2.2000000000000002E-2</v>
      </c>
      <c r="AH46" s="13"/>
      <c r="AI46" s="14"/>
      <c r="AJ46" s="13"/>
      <c r="AL46" s="13">
        <v>4.5</v>
      </c>
      <c r="AM46" s="13">
        <v>23</v>
      </c>
      <c r="AN46" s="13">
        <v>400</v>
      </c>
      <c r="AO46" s="13">
        <v>1</v>
      </c>
      <c r="AP46" s="14">
        <f t="shared" si="13"/>
        <v>4.1399999999999999E-2</v>
      </c>
      <c r="AQ46" s="13"/>
      <c r="AR46" s="14"/>
      <c r="AS46" s="13"/>
      <c r="AU46" s="13">
        <v>2</v>
      </c>
      <c r="AV46" s="13">
        <v>10</v>
      </c>
      <c r="AW46" s="13">
        <v>400</v>
      </c>
      <c r="AX46" s="13">
        <v>28</v>
      </c>
      <c r="AY46" s="14">
        <f t="shared" si="5"/>
        <v>0.224</v>
      </c>
      <c r="AZ46" s="13"/>
      <c r="BA46" s="14"/>
      <c r="BB46" s="13"/>
      <c r="BD46" s="13">
        <v>5</v>
      </c>
      <c r="BE46" s="13">
        <v>10</v>
      </c>
      <c r="BF46" s="13">
        <v>300</v>
      </c>
      <c r="BG46" s="13">
        <v>9</v>
      </c>
      <c r="BH46" s="14">
        <f t="shared" si="18"/>
        <v>0.13500000000000001</v>
      </c>
      <c r="BI46" s="13"/>
      <c r="BJ46" s="14"/>
      <c r="BK46" s="13"/>
      <c r="BM46" s="13">
        <v>10</v>
      </c>
      <c r="BN46" s="13">
        <v>20</v>
      </c>
      <c r="BO46" s="105">
        <v>400</v>
      </c>
      <c r="BP46" s="13">
        <v>1</v>
      </c>
      <c r="BQ46" s="14">
        <f t="shared" si="19"/>
        <v>0.08</v>
      </c>
      <c r="BR46" s="13"/>
      <c r="BS46" s="14"/>
      <c r="BT46" s="13"/>
      <c r="BV46" s="13">
        <v>7</v>
      </c>
      <c r="BW46" s="13">
        <v>20</v>
      </c>
      <c r="BX46" s="13">
        <v>400</v>
      </c>
      <c r="BY46" s="13">
        <v>1</v>
      </c>
      <c r="BZ46" s="14">
        <f t="shared" si="17"/>
        <v>5.6000000000000001E-2</v>
      </c>
      <c r="CA46" s="13"/>
      <c r="CB46" s="14"/>
      <c r="CC46" s="13"/>
      <c r="CE46" s="13">
        <v>3.5</v>
      </c>
      <c r="CF46" s="13">
        <v>25</v>
      </c>
      <c r="CG46" s="13">
        <v>400</v>
      </c>
      <c r="CH46" s="13">
        <v>2</v>
      </c>
      <c r="CI46" s="14">
        <f t="shared" si="9"/>
        <v>7.0000000000000007E-2</v>
      </c>
      <c r="CJ46" s="13"/>
      <c r="CK46" s="14"/>
      <c r="CL46" s="13"/>
      <c r="CN46" s="13">
        <v>1.7</v>
      </c>
      <c r="CO46" s="13">
        <v>10</v>
      </c>
      <c r="CP46" s="13">
        <v>400</v>
      </c>
      <c r="CQ46" s="13">
        <v>12</v>
      </c>
      <c r="CR46" s="14">
        <f t="shared" si="10"/>
        <v>8.1600000000000006E-2</v>
      </c>
      <c r="CS46" s="13"/>
      <c r="CT46" s="14"/>
      <c r="CU46" s="13"/>
      <c r="CW46" s="122">
        <v>4</v>
      </c>
      <c r="CX46" s="122">
        <v>6</v>
      </c>
      <c r="CY46" s="122">
        <v>400</v>
      </c>
      <c r="CZ46" s="122">
        <v>18</v>
      </c>
      <c r="DA46" s="123">
        <f>CW46*CX46*CY46*CZ46/1000000</f>
        <v>0.17280000000000001</v>
      </c>
      <c r="DB46" s="122"/>
      <c r="DC46" s="123"/>
      <c r="DD46" s="126"/>
      <c r="DF46" s="122">
        <v>2</v>
      </c>
      <c r="DG46" s="122">
        <v>3</v>
      </c>
      <c r="DH46" s="122">
        <v>400</v>
      </c>
      <c r="DI46" s="122">
        <v>150</v>
      </c>
      <c r="DJ46" s="123">
        <f>DF46*DG46*DH46*DI46/1000000</f>
        <v>0.36</v>
      </c>
      <c r="DK46" s="122"/>
      <c r="DL46" s="123"/>
      <c r="DM46" s="126"/>
    </row>
    <row r="47" spans="2:117" ht="15.75" x14ac:dyDescent="0.25">
      <c r="B47" s="13">
        <v>10</v>
      </c>
      <c r="C47" s="13">
        <v>15</v>
      </c>
      <c r="D47" s="13">
        <v>400</v>
      </c>
      <c r="E47" s="13">
        <v>5</v>
      </c>
      <c r="F47" s="20">
        <f t="shared" si="14"/>
        <v>0.3</v>
      </c>
      <c r="G47" s="13"/>
      <c r="H47" s="14"/>
      <c r="I47" s="13"/>
      <c r="K47" s="13">
        <v>3.5</v>
      </c>
      <c r="L47" s="13">
        <v>15</v>
      </c>
      <c r="M47" s="13">
        <v>400</v>
      </c>
      <c r="N47" s="13">
        <v>1</v>
      </c>
      <c r="O47" s="14">
        <f t="shared" si="16"/>
        <v>2.1000000000000001E-2</v>
      </c>
      <c r="P47" s="13"/>
      <c r="Q47" s="14"/>
      <c r="R47" s="13"/>
      <c r="T47" s="13">
        <v>2.2000000000000002</v>
      </c>
      <c r="U47" s="13">
        <v>10</v>
      </c>
      <c r="V47" s="13">
        <v>400</v>
      </c>
      <c r="W47" s="13">
        <v>2</v>
      </c>
      <c r="X47" s="14">
        <f t="shared" si="2"/>
        <v>1.7600000000000001E-2</v>
      </c>
      <c r="Y47" s="13">
        <f>SUM(W42:W47)</f>
        <v>35</v>
      </c>
      <c r="Z47" s="14">
        <f>SUM(X42:X47)</f>
        <v>0.48135999999999995</v>
      </c>
      <c r="AA47" s="13"/>
      <c r="AC47" s="13">
        <v>2.2000000000000002</v>
      </c>
      <c r="AD47" s="13">
        <v>23</v>
      </c>
      <c r="AE47" s="13">
        <v>400</v>
      </c>
      <c r="AF47" s="13">
        <v>1</v>
      </c>
      <c r="AG47" s="14">
        <f t="shared" si="3"/>
        <v>2.0240000000000001E-2</v>
      </c>
      <c r="AH47" s="13"/>
      <c r="AI47" s="14"/>
      <c r="AJ47" s="13"/>
      <c r="AL47" s="13">
        <v>4.5</v>
      </c>
      <c r="AM47" s="13">
        <v>18</v>
      </c>
      <c r="AN47" s="13">
        <v>400</v>
      </c>
      <c r="AO47" s="13">
        <v>3</v>
      </c>
      <c r="AP47" s="14">
        <f t="shared" si="13"/>
        <v>9.7199999999999995E-2</v>
      </c>
      <c r="AQ47" s="13"/>
      <c r="AR47" s="14"/>
      <c r="AS47" s="13"/>
      <c r="AU47" s="13">
        <v>10</v>
      </c>
      <c r="AV47" s="13">
        <v>10</v>
      </c>
      <c r="AW47" s="13">
        <v>400</v>
      </c>
      <c r="AX47" s="13">
        <v>2</v>
      </c>
      <c r="AY47" s="14">
        <f t="shared" si="5"/>
        <v>0.08</v>
      </c>
      <c r="AZ47" s="13"/>
      <c r="BA47" s="14"/>
      <c r="BB47" s="13"/>
      <c r="BD47" s="13">
        <v>2</v>
      </c>
      <c r="BE47" s="13">
        <v>12</v>
      </c>
      <c r="BF47" s="13">
        <v>300</v>
      </c>
      <c r="BG47" s="13">
        <v>1</v>
      </c>
      <c r="BH47" s="14">
        <f t="shared" si="18"/>
        <v>7.1999999999999998E-3</v>
      </c>
      <c r="BI47" s="13"/>
      <c r="BJ47" s="14"/>
      <c r="BK47" s="13"/>
      <c r="BM47" s="13">
        <v>6</v>
      </c>
      <c r="BN47" s="13">
        <v>15</v>
      </c>
      <c r="BO47" s="105">
        <v>400</v>
      </c>
      <c r="BP47" s="13">
        <v>1</v>
      </c>
      <c r="BQ47" s="14">
        <f t="shared" si="19"/>
        <v>3.5999999999999997E-2</v>
      </c>
      <c r="BR47" s="13"/>
      <c r="BS47" s="14"/>
      <c r="BT47" s="13"/>
      <c r="BV47" s="13">
        <v>4.5</v>
      </c>
      <c r="BW47" s="13">
        <v>20</v>
      </c>
      <c r="BX47" s="13">
        <v>400</v>
      </c>
      <c r="BY47" s="13">
        <v>7</v>
      </c>
      <c r="BZ47" s="14">
        <f t="shared" si="17"/>
        <v>0.252</v>
      </c>
      <c r="CA47" s="13"/>
      <c r="CB47" s="14"/>
      <c r="CC47" s="13"/>
      <c r="CE47" s="13">
        <v>4.5</v>
      </c>
      <c r="CF47" s="13">
        <v>25</v>
      </c>
      <c r="CG47" s="13">
        <v>400</v>
      </c>
      <c r="CH47" s="13">
        <v>4</v>
      </c>
      <c r="CI47" s="14">
        <f t="shared" si="9"/>
        <v>0.18</v>
      </c>
      <c r="CJ47" s="13"/>
      <c r="CK47" s="14"/>
      <c r="CL47" s="13"/>
      <c r="CN47" s="13">
        <v>7</v>
      </c>
      <c r="CO47" s="13">
        <v>10</v>
      </c>
      <c r="CP47" s="13">
        <v>400</v>
      </c>
      <c r="CQ47" s="13">
        <v>3</v>
      </c>
      <c r="CR47" s="14">
        <f t="shared" si="10"/>
        <v>8.4000000000000005E-2</v>
      </c>
      <c r="CS47" s="13"/>
      <c r="CT47" s="14"/>
      <c r="CU47" s="13"/>
      <c r="CW47" s="122">
        <v>3</v>
      </c>
      <c r="CX47" s="122">
        <v>5</v>
      </c>
      <c r="CY47" s="122">
        <v>400</v>
      </c>
      <c r="CZ47" s="122">
        <v>140</v>
      </c>
      <c r="DA47" s="123">
        <f>CW47*CX47*CY47*CZ47/1000000</f>
        <v>0.84</v>
      </c>
      <c r="DB47" s="122"/>
      <c r="DC47" s="123"/>
      <c r="DD47" s="126"/>
      <c r="DF47" s="122">
        <v>5</v>
      </c>
      <c r="DG47" s="122">
        <v>7</v>
      </c>
      <c r="DH47" s="122">
        <v>400</v>
      </c>
      <c r="DI47" s="122">
        <v>96</v>
      </c>
      <c r="DJ47" s="123">
        <f>DF47*DG47*DH47*DI47/1000000</f>
        <v>1.3440000000000001</v>
      </c>
      <c r="DK47" s="122"/>
      <c r="DL47" s="123"/>
      <c r="DM47" s="126"/>
    </row>
    <row r="48" spans="2:117" ht="15.75" x14ac:dyDescent="0.25">
      <c r="B48" s="13">
        <v>10</v>
      </c>
      <c r="C48" s="13">
        <v>12</v>
      </c>
      <c r="D48" s="13">
        <v>400</v>
      </c>
      <c r="E48" s="13">
        <v>1</v>
      </c>
      <c r="F48" s="20">
        <f t="shared" si="14"/>
        <v>4.8000000000000001E-2</v>
      </c>
      <c r="G48" s="13"/>
      <c r="H48" s="14"/>
      <c r="I48" s="13"/>
      <c r="K48" s="13">
        <v>3.5</v>
      </c>
      <c r="L48" s="13">
        <v>10</v>
      </c>
      <c r="M48" s="13">
        <v>400</v>
      </c>
      <c r="N48" s="13">
        <v>3</v>
      </c>
      <c r="O48" s="14">
        <f t="shared" si="16"/>
        <v>4.2000000000000003E-2</v>
      </c>
      <c r="P48" s="13"/>
      <c r="Q48" s="14"/>
      <c r="R48" s="13"/>
      <c r="T48" s="13">
        <v>1.7</v>
      </c>
      <c r="U48" s="13">
        <v>20</v>
      </c>
      <c r="V48" s="13">
        <v>400</v>
      </c>
      <c r="W48" s="13">
        <v>2</v>
      </c>
      <c r="X48" s="14">
        <f t="shared" si="2"/>
        <v>2.7199999999999998E-2</v>
      </c>
      <c r="Y48" s="13"/>
      <c r="Z48" s="14"/>
      <c r="AA48" s="13"/>
      <c r="AC48" s="13">
        <v>2.2000000000000002</v>
      </c>
      <c r="AD48" s="13">
        <v>15</v>
      </c>
      <c r="AE48" s="13">
        <v>400</v>
      </c>
      <c r="AF48" s="13">
        <v>9</v>
      </c>
      <c r="AG48" s="14">
        <f t="shared" si="3"/>
        <v>0.1188</v>
      </c>
      <c r="AH48" s="13"/>
      <c r="AI48" s="14"/>
      <c r="AJ48" s="13"/>
      <c r="AL48" s="13">
        <v>4.5</v>
      </c>
      <c r="AM48" s="13">
        <v>10</v>
      </c>
      <c r="AN48" s="13">
        <v>400</v>
      </c>
      <c r="AO48" s="13">
        <v>17</v>
      </c>
      <c r="AP48" s="14">
        <f t="shared" si="13"/>
        <v>0.30599999999999999</v>
      </c>
      <c r="AQ48" s="13"/>
      <c r="AR48" s="14"/>
      <c r="AS48" s="13"/>
      <c r="AU48" s="13">
        <v>7</v>
      </c>
      <c r="AV48" s="13">
        <v>10</v>
      </c>
      <c r="AW48" s="13">
        <v>400</v>
      </c>
      <c r="AX48" s="13">
        <v>1</v>
      </c>
      <c r="AY48" s="14">
        <f t="shared" si="5"/>
        <v>2.8000000000000001E-2</v>
      </c>
      <c r="AZ48" s="13"/>
      <c r="BA48" s="14"/>
      <c r="BB48" s="13"/>
      <c r="BD48" s="13">
        <v>2</v>
      </c>
      <c r="BE48" s="13">
        <v>15</v>
      </c>
      <c r="BF48" s="13">
        <v>300</v>
      </c>
      <c r="BG48" s="13">
        <v>1</v>
      </c>
      <c r="BH48" s="14">
        <f t="shared" si="18"/>
        <v>8.9999999999999993E-3</v>
      </c>
      <c r="BI48" s="13"/>
      <c r="BJ48" s="14"/>
      <c r="BK48" s="13"/>
      <c r="BM48" s="13">
        <v>5</v>
      </c>
      <c r="BN48" s="13">
        <v>15</v>
      </c>
      <c r="BO48" s="105">
        <v>400</v>
      </c>
      <c r="BP48" s="13">
        <v>1</v>
      </c>
      <c r="BQ48" s="14">
        <f t="shared" si="19"/>
        <v>0.03</v>
      </c>
      <c r="BR48" s="13"/>
      <c r="BS48" s="14"/>
      <c r="BT48" s="13"/>
      <c r="BV48" s="13">
        <v>3.5</v>
      </c>
      <c r="BW48" s="13">
        <v>20</v>
      </c>
      <c r="BX48" s="13">
        <v>400</v>
      </c>
      <c r="BY48" s="13">
        <v>1</v>
      </c>
      <c r="BZ48" s="14">
        <f t="shared" si="17"/>
        <v>2.8000000000000001E-2</v>
      </c>
      <c r="CA48" s="13"/>
      <c r="CB48" s="14"/>
      <c r="CC48" s="13"/>
      <c r="CE48" s="13">
        <v>10</v>
      </c>
      <c r="CF48" s="13">
        <v>30</v>
      </c>
      <c r="CG48" s="13">
        <v>400</v>
      </c>
      <c r="CH48" s="13">
        <v>7</v>
      </c>
      <c r="CI48" s="14">
        <f t="shared" si="9"/>
        <v>0.84</v>
      </c>
      <c r="CJ48" s="13"/>
      <c r="CK48" s="14"/>
      <c r="CL48" s="13"/>
      <c r="CN48" s="13">
        <v>10</v>
      </c>
      <c r="CO48" s="13">
        <v>10</v>
      </c>
      <c r="CP48" s="13">
        <v>400</v>
      </c>
      <c r="CQ48" s="13">
        <v>4</v>
      </c>
      <c r="CR48" s="14">
        <f t="shared" si="10"/>
        <v>0.16</v>
      </c>
      <c r="CS48" s="13"/>
      <c r="CT48" s="14"/>
      <c r="CU48" s="13"/>
      <c r="CW48" s="122">
        <v>2</v>
      </c>
      <c r="CX48" s="122">
        <v>3</v>
      </c>
      <c r="CY48" s="122">
        <v>400</v>
      </c>
      <c r="CZ48" s="122">
        <v>200</v>
      </c>
      <c r="DA48" s="123">
        <f>CW48*CX48*CY48*CZ48/1000000</f>
        <v>0.48</v>
      </c>
      <c r="DB48" s="122">
        <f>SUM(CZ45:CZ48)</f>
        <v>394</v>
      </c>
      <c r="DC48" s="123">
        <f>SUM(DA45:DA48)</f>
        <v>1.9967999999999999</v>
      </c>
      <c r="DD48" s="126"/>
      <c r="DF48" s="122">
        <v>4</v>
      </c>
      <c r="DG48" s="122">
        <v>6</v>
      </c>
      <c r="DH48" s="122">
        <v>400</v>
      </c>
      <c r="DI48" s="122">
        <v>24</v>
      </c>
      <c r="DJ48" s="123">
        <f>DF48*DG48*DH48*DI48/1000000</f>
        <v>0.23039999999999999</v>
      </c>
      <c r="DK48" s="122">
        <f>SUM(DI46:DI48)</f>
        <v>270</v>
      </c>
      <c r="DL48" s="123">
        <f>SUM(DJ46:DJ48)</f>
        <v>1.9344000000000001</v>
      </c>
      <c r="DM48" s="126"/>
    </row>
    <row r="49" spans="2:117" ht="16.5" thickBot="1" x14ac:dyDescent="0.3">
      <c r="B49" s="13">
        <v>10</v>
      </c>
      <c r="C49" s="13">
        <v>10</v>
      </c>
      <c r="D49" s="13">
        <v>400</v>
      </c>
      <c r="E49" s="13">
        <v>3</v>
      </c>
      <c r="F49" s="20">
        <f t="shared" si="14"/>
        <v>0.12</v>
      </c>
      <c r="G49" s="13">
        <f>SUM(E41:E49)</f>
        <v>40</v>
      </c>
      <c r="H49" s="14">
        <f>SUM(F41:F49)</f>
        <v>3.6360000000000001</v>
      </c>
      <c r="I49" s="13"/>
      <c r="K49" s="13">
        <v>3.2</v>
      </c>
      <c r="L49" s="13">
        <v>11</v>
      </c>
      <c r="M49" s="13">
        <v>400</v>
      </c>
      <c r="N49" s="13">
        <v>5</v>
      </c>
      <c r="O49" s="14">
        <f t="shared" si="16"/>
        <v>7.0400000000000018E-2</v>
      </c>
      <c r="P49" s="13"/>
      <c r="Q49" s="14"/>
      <c r="R49" s="13"/>
      <c r="T49" s="13">
        <v>1.7</v>
      </c>
      <c r="U49" s="13">
        <v>15</v>
      </c>
      <c r="V49" s="13">
        <v>400</v>
      </c>
      <c r="W49" s="13">
        <v>12</v>
      </c>
      <c r="X49" s="14">
        <f t="shared" si="2"/>
        <v>0.12239999999999999</v>
      </c>
      <c r="Y49" s="13"/>
      <c r="Z49" s="14"/>
      <c r="AA49" s="13"/>
      <c r="AC49" s="13">
        <v>2.2000000000000002</v>
      </c>
      <c r="AD49" s="13">
        <v>13</v>
      </c>
      <c r="AE49" s="13">
        <v>400</v>
      </c>
      <c r="AF49" s="13">
        <v>6</v>
      </c>
      <c r="AG49" s="14">
        <f t="shared" si="3"/>
        <v>6.8640000000000007E-2</v>
      </c>
      <c r="AH49" s="13">
        <f>SUM(AF44:AF49)</f>
        <v>21</v>
      </c>
      <c r="AI49" s="14">
        <f>SUM(AG44:AG49)</f>
        <v>0.32208000000000003</v>
      </c>
      <c r="AJ49" s="13"/>
      <c r="AL49" s="13">
        <v>4.5</v>
      </c>
      <c r="AM49" s="13">
        <v>10</v>
      </c>
      <c r="AN49" s="13">
        <v>300</v>
      </c>
      <c r="AO49" s="13">
        <v>8</v>
      </c>
      <c r="AP49" s="14">
        <f t="shared" si="13"/>
        <v>0.108</v>
      </c>
      <c r="AQ49" s="13">
        <f>SUM(AO46:AO49)</f>
        <v>29</v>
      </c>
      <c r="AR49" s="14">
        <f>SUM(AP46:AP49)</f>
        <v>0.55259999999999998</v>
      </c>
      <c r="AS49" s="13"/>
      <c r="AU49" s="13">
        <v>6</v>
      </c>
      <c r="AV49" s="13">
        <v>10</v>
      </c>
      <c r="AW49" s="13">
        <v>400</v>
      </c>
      <c r="AX49" s="13">
        <v>15</v>
      </c>
      <c r="AY49" s="14">
        <f t="shared" si="5"/>
        <v>0.36</v>
      </c>
      <c r="AZ49" s="13"/>
      <c r="BA49" s="14"/>
      <c r="BB49" s="13"/>
      <c r="BD49" s="13">
        <v>6</v>
      </c>
      <c r="BE49" s="13">
        <v>20</v>
      </c>
      <c r="BF49" s="13">
        <v>300</v>
      </c>
      <c r="BG49" s="13">
        <v>2</v>
      </c>
      <c r="BH49" s="14">
        <f t="shared" si="18"/>
        <v>7.1999999999999995E-2</v>
      </c>
      <c r="BI49" s="13"/>
      <c r="BJ49" s="14"/>
      <c r="BK49" s="13"/>
      <c r="BM49" s="13">
        <v>2</v>
      </c>
      <c r="BN49" s="13">
        <v>15</v>
      </c>
      <c r="BO49" s="105">
        <v>400</v>
      </c>
      <c r="BP49" s="13">
        <v>1</v>
      </c>
      <c r="BQ49" s="14">
        <f t="shared" si="19"/>
        <v>1.2E-2</v>
      </c>
      <c r="BR49" s="13"/>
      <c r="BS49" s="14"/>
      <c r="BT49" s="13"/>
      <c r="BV49" s="13">
        <v>2.2000000000000002</v>
      </c>
      <c r="BW49" s="13">
        <v>15</v>
      </c>
      <c r="BX49" s="13">
        <v>400</v>
      </c>
      <c r="BY49" s="13">
        <v>6</v>
      </c>
      <c r="BZ49" s="14">
        <f t="shared" si="17"/>
        <v>7.9200000000000007E-2</v>
      </c>
      <c r="CA49" s="13"/>
      <c r="CB49" s="14"/>
      <c r="CC49" s="13"/>
      <c r="CE49" s="13">
        <v>13</v>
      </c>
      <c r="CF49" s="13">
        <v>30</v>
      </c>
      <c r="CG49" s="13">
        <v>400</v>
      </c>
      <c r="CH49" s="13">
        <v>9</v>
      </c>
      <c r="CI49" s="14">
        <f t="shared" si="9"/>
        <v>1.4039999999999999</v>
      </c>
      <c r="CJ49" s="13"/>
      <c r="CK49" s="14"/>
      <c r="CL49" s="13"/>
      <c r="CN49" s="122">
        <v>5</v>
      </c>
      <c r="CO49" s="122">
        <v>7</v>
      </c>
      <c r="CP49" s="122">
        <v>400</v>
      </c>
      <c r="CQ49" s="122">
        <v>64</v>
      </c>
      <c r="CR49" s="123">
        <f t="shared" si="10"/>
        <v>0.89600000000000002</v>
      </c>
      <c r="CS49" s="122"/>
      <c r="CT49" s="123"/>
      <c r="CU49" s="122"/>
      <c r="CW49" s="115"/>
      <c r="CX49" s="115"/>
      <c r="CY49" s="115"/>
      <c r="CZ49" s="17">
        <f>SUM(CZ8:CZ48)</f>
        <v>805</v>
      </c>
      <c r="DA49" s="32">
        <f>SUM(DA8:DA48)</f>
        <v>11.98682</v>
      </c>
      <c r="DB49" s="17">
        <f>SUM(DB8:DB48)</f>
        <v>805</v>
      </c>
      <c r="DC49" s="32">
        <f>SUM(DC8:DC48)</f>
        <v>11.98682</v>
      </c>
      <c r="DD49" s="146"/>
      <c r="DF49" s="115"/>
      <c r="DG49" s="115"/>
      <c r="DH49" s="115"/>
      <c r="DI49" s="17">
        <f>SUM(DI8:DI48)</f>
        <v>562</v>
      </c>
      <c r="DJ49" s="32">
        <f>SUM(DJ8:DJ48)</f>
        <v>14.049799999999996</v>
      </c>
      <c r="DK49" s="17">
        <f>SUM(DK8:DK48)</f>
        <v>562</v>
      </c>
      <c r="DL49" s="32">
        <f>SUM(DL8:DL48)</f>
        <v>14.049799999999998</v>
      </c>
      <c r="DM49" s="146" t="s">
        <v>23</v>
      </c>
    </row>
    <row r="50" spans="2:117" ht="16.5" thickTop="1" x14ac:dyDescent="0.25">
      <c r="B50" s="13">
        <v>8</v>
      </c>
      <c r="C50" s="13">
        <v>33</v>
      </c>
      <c r="D50" s="13">
        <v>400</v>
      </c>
      <c r="E50" s="13">
        <v>1</v>
      </c>
      <c r="F50" s="20">
        <f t="shared" si="14"/>
        <v>0.1056</v>
      </c>
      <c r="G50" s="13"/>
      <c r="H50" s="14"/>
      <c r="I50" s="13"/>
      <c r="K50" s="13">
        <v>3.2</v>
      </c>
      <c r="L50" s="13">
        <v>7</v>
      </c>
      <c r="M50" s="13">
        <v>400</v>
      </c>
      <c r="N50" s="13">
        <v>44</v>
      </c>
      <c r="O50" s="14">
        <f t="shared" si="16"/>
        <v>0.39423999999999998</v>
      </c>
      <c r="P50" s="13"/>
      <c r="Q50" s="14"/>
      <c r="R50" s="13"/>
      <c r="T50" s="13">
        <v>1.7</v>
      </c>
      <c r="U50" s="13">
        <v>13</v>
      </c>
      <c r="V50" s="13">
        <v>400</v>
      </c>
      <c r="W50" s="13">
        <v>6</v>
      </c>
      <c r="X50" s="14">
        <f t="shared" si="2"/>
        <v>5.3039999999999997E-2</v>
      </c>
      <c r="Y50" s="13"/>
      <c r="Z50" s="14"/>
      <c r="AA50" s="13"/>
      <c r="AC50" s="13">
        <v>1.7</v>
      </c>
      <c r="AD50" s="13">
        <v>25</v>
      </c>
      <c r="AE50" s="13">
        <v>400</v>
      </c>
      <c r="AF50" s="13">
        <v>1</v>
      </c>
      <c r="AG50" s="14">
        <f t="shared" si="3"/>
        <v>1.7000000000000001E-2</v>
      </c>
      <c r="AH50" s="13"/>
      <c r="AI50" s="14"/>
      <c r="AJ50" s="13"/>
      <c r="AL50" s="122">
        <v>4</v>
      </c>
      <c r="AM50" s="122">
        <v>6</v>
      </c>
      <c r="AN50" s="122">
        <v>400</v>
      </c>
      <c r="AO50" s="122">
        <v>138</v>
      </c>
      <c r="AP50" s="123">
        <f t="shared" si="13"/>
        <v>1.3248</v>
      </c>
      <c r="AQ50" s="122">
        <f>SUM(AO50)</f>
        <v>138</v>
      </c>
      <c r="AR50" s="123">
        <f>SUM(AP50)</f>
        <v>1.3248</v>
      </c>
      <c r="AS50" s="122"/>
      <c r="AU50" s="13">
        <v>5</v>
      </c>
      <c r="AV50" s="13">
        <v>10</v>
      </c>
      <c r="AW50" s="13">
        <v>400</v>
      </c>
      <c r="AX50" s="13">
        <v>14</v>
      </c>
      <c r="AY50" s="14">
        <f t="shared" si="5"/>
        <v>0.28000000000000003</v>
      </c>
      <c r="AZ50" s="13"/>
      <c r="BA50" s="14"/>
      <c r="BB50" s="13"/>
      <c r="BD50" s="13">
        <v>6</v>
      </c>
      <c r="BE50" s="13">
        <v>15</v>
      </c>
      <c r="BF50" s="13">
        <v>300</v>
      </c>
      <c r="BG50" s="13">
        <v>2</v>
      </c>
      <c r="BH50" s="14">
        <f t="shared" si="18"/>
        <v>5.3999999999999999E-2</v>
      </c>
      <c r="BI50" s="13"/>
      <c r="BJ50" s="14"/>
      <c r="BK50" s="13"/>
      <c r="BM50" s="13">
        <v>4</v>
      </c>
      <c r="BN50" s="13">
        <v>10</v>
      </c>
      <c r="BO50" s="105">
        <v>400</v>
      </c>
      <c r="BP50" s="13">
        <v>2</v>
      </c>
      <c r="BQ50" s="14">
        <f t="shared" si="19"/>
        <v>3.2000000000000001E-2</v>
      </c>
      <c r="BR50" s="13"/>
      <c r="BS50" s="14"/>
      <c r="BT50" s="13"/>
      <c r="BV50" s="13">
        <v>3.5</v>
      </c>
      <c r="BW50" s="13">
        <v>15</v>
      </c>
      <c r="BX50" s="13">
        <v>400</v>
      </c>
      <c r="BY50" s="13">
        <v>14</v>
      </c>
      <c r="BZ50" s="14">
        <f t="shared" si="17"/>
        <v>0.29399999999999998</v>
      </c>
      <c r="CA50" s="13"/>
      <c r="CB50" s="14"/>
      <c r="CC50" s="13"/>
      <c r="CE50" s="13">
        <v>4.5</v>
      </c>
      <c r="CF50" s="13">
        <v>30</v>
      </c>
      <c r="CG50" s="13">
        <v>400</v>
      </c>
      <c r="CH50" s="13">
        <v>2</v>
      </c>
      <c r="CI50" s="14">
        <f t="shared" si="9"/>
        <v>0.108</v>
      </c>
      <c r="CJ50" s="13"/>
      <c r="CK50" s="14"/>
      <c r="CL50" s="13"/>
      <c r="CN50" s="122">
        <v>4</v>
      </c>
      <c r="CO50" s="122">
        <v>6</v>
      </c>
      <c r="CP50" s="122">
        <v>400</v>
      </c>
      <c r="CQ50" s="122">
        <v>42</v>
      </c>
      <c r="CR50" s="123">
        <f t="shared" si="10"/>
        <v>0.4032</v>
      </c>
      <c r="CS50" s="122"/>
      <c r="CT50" s="123"/>
      <c r="CU50" s="126"/>
    </row>
    <row r="51" spans="2:117" ht="15.75" x14ac:dyDescent="0.25">
      <c r="B51" s="13">
        <v>8</v>
      </c>
      <c r="C51" s="13">
        <v>30</v>
      </c>
      <c r="D51" s="13">
        <v>400</v>
      </c>
      <c r="E51" s="13">
        <v>6</v>
      </c>
      <c r="F51" s="20">
        <f t="shared" si="14"/>
        <v>0.57599999999999996</v>
      </c>
      <c r="G51" s="13"/>
      <c r="H51" s="14"/>
      <c r="I51" s="13"/>
      <c r="K51" s="122">
        <v>3</v>
      </c>
      <c r="L51" s="122">
        <v>5</v>
      </c>
      <c r="M51" s="122">
        <v>400</v>
      </c>
      <c r="N51" s="122">
        <v>50</v>
      </c>
      <c r="O51" s="123">
        <f t="shared" si="16"/>
        <v>0.3</v>
      </c>
      <c r="P51" s="122">
        <f>SUM(N42:N51)</f>
        <v>118</v>
      </c>
      <c r="Q51" s="123">
        <f>SUM(O42:O51)</f>
        <v>1.2854400000000001</v>
      </c>
      <c r="R51" s="122"/>
      <c r="T51" s="13">
        <v>1.7</v>
      </c>
      <c r="U51" s="13">
        <v>10</v>
      </c>
      <c r="V51" s="13">
        <v>400</v>
      </c>
      <c r="W51" s="13">
        <v>4</v>
      </c>
      <c r="X51" s="14">
        <f t="shared" si="2"/>
        <v>2.7199999999999998E-2</v>
      </c>
      <c r="Y51" s="13">
        <f>SUM(W48:W51)</f>
        <v>24</v>
      </c>
      <c r="Z51" s="14">
        <f>SUM(X48:X51)</f>
        <v>0.22983999999999999</v>
      </c>
      <c r="AA51" s="13"/>
      <c r="AC51" s="13">
        <v>1.7</v>
      </c>
      <c r="AD51" s="13">
        <v>23</v>
      </c>
      <c r="AE51" s="13">
        <v>400</v>
      </c>
      <c r="AF51" s="13">
        <v>1</v>
      </c>
      <c r="AG51" s="14">
        <f t="shared" si="3"/>
        <v>1.5640000000000001E-2</v>
      </c>
      <c r="AH51" s="13"/>
      <c r="AI51" s="14"/>
      <c r="AJ51" s="13"/>
      <c r="AL51" s="13">
        <v>3.5</v>
      </c>
      <c r="AM51" s="13">
        <v>20</v>
      </c>
      <c r="AN51" s="13">
        <v>400</v>
      </c>
      <c r="AO51" s="13">
        <v>1</v>
      </c>
      <c r="AP51" s="14">
        <f t="shared" si="13"/>
        <v>2.8000000000000001E-2</v>
      </c>
      <c r="AQ51" s="13"/>
      <c r="AR51" s="14"/>
      <c r="AS51" s="13"/>
      <c r="AU51" s="13">
        <v>4</v>
      </c>
      <c r="AV51" s="13">
        <v>10</v>
      </c>
      <c r="AW51" s="13">
        <v>400</v>
      </c>
      <c r="AX51" s="13">
        <v>2</v>
      </c>
      <c r="AY51" s="14">
        <f t="shared" si="5"/>
        <v>3.2000000000000001E-2</v>
      </c>
      <c r="AZ51" s="13"/>
      <c r="BA51" s="35"/>
      <c r="BB51" s="13"/>
      <c r="BD51" s="13">
        <v>10</v>
      </c>
      <c r="BE51" s="13">
        <v>15</v>
      </c>
      <c r="BF51" s="13">
        <v>300</v>
      </c>
      <c r="BG51" s="13">
        <v>1</v>
      </c>
      <c r="BH51" s="14">
        <f t="shared" si="18"/>
        <v>4.4999999999999998E-2</v>
      </c>
      <c r="BI51" s="13"/>
      <c r="BJ51" s="14"/>
      <c r="BK51" s="13"/>
      <c r="BM51" s="13">
        <v>2</v>
      </c>
      <c r="BN51" s="13">
        <v>10</v>
      </c>
      <c r="BO51" s="105">
        <v>400</v>
      </c>
      <c r="BP51" s="13">
        <v>1</v>
      </c>
      <c r="BQ51" s="14">
        <f t="shared" si="19"/>
        <v>8.0000000000000002E-3</v>
      </c>
      <c r="BR51" s="13"/>
      <c r="BS51" s="14"/>
      <c r="BT51" s="13"/>
      <c r="BV51" s="13">
        <v>7</v>
      </c>
      <c r="BW51" s="13">
        <v>13</v>
      </c>
      <c r="BX51" s="13">
        <v>400</v>
      </c>
      <c r="BY51" s="13">
        <v>2</v>
      </c>
      <c r="BZ51" s="14">
        <f t="shared" si="17"/>
        <v>7.2800000000000004E-2</v>
      </c>
      <c r="CA51" s="13"/>
      <c r="CB51" s="14"/>
      <c r="CC51" s="13"/>
      <c r="CE51" s="13">
        <v>2.2000000000000002</v>
      </c>
      <c r="CF51" s="13">
        <v>25</v>
      </c>
      <c r="CG51" s="13">
        <v>400</v>
      </c>
      <c r="CH51" s="13">
        <v>1</v>
      </c>
      <c r="CI51" s="14">
        <f t="shared" si="9"/>
        <v>2.2000000000000002E-2</v>
      </c>
      <c r="CJ51" s="13"/>
      <c r="CK51" s="14"/>
      <c r="CL51" s="13"/>
      <c r="CN51" s="122">
        <v>3</v>
      </c>
      <c r="CO51" s="122">
        <v>5</v>
      </c>
      <c r="CP51" s="122">
        <v>400</v>
      </c>
      <c r="CQ51" s="122">
        <v>210</v>
      </c>
      <c r="CR51" s="123">
        <f t="shared" si="10"/>
        <v>1.26</v>
      </c>
      <c r="CS51" s="122"/>
      <c r="CT51" s="123"/>
      <c r="CU51" s="126"/>
      <c r="CW51" s="231" t="s">
        <v>19</v>
      </c>
      <c r="CX51" s="231"/>
      <c r="CY51" s="231"/>
      <c r="CZ51" s="231"/>
      <c r="DA51" s="231"/>
      <c r="DB51" s="231"/>
      <c r="DC51" s="231"/>
      <c r="DD51" s="231"/>
      <c r="DF51" s="231" t="s">
        <v>19</v>
      </c>
      <c r="DG51" s="231"/>
      <c r="DH51" s="231"/>
      <c r="DI51" s="231"/>
      <c r="DJ51" s="231"/>
      <c r="DK51" s="231"/>
      <c r="DL51" s="231"/>
      <c r="DM51" s="231"/>
    </row>
    <row r="52" spans="2:117" ht="16.5" thickBot="1" x14ac:dyDescent="0.3">
      <c r="B52" s="13">
        <v>8</v>
      </c>
      <c r="C52" s="13">
        <v>25</v>
      </c>
      <c r="D52" s="13">
        <v>400</v>
      </c>
      <c r="E52" s="13">
        <v>7</v>
      </c>
      <c r="F52" s="20">
        <f t="shared" si="14"/>
        <v>0.56000000000000005</v>
      </c>
      <c r="G52" s="13"/>
      <c r="H52" s="14"/>
      <c r="I52" s="13"/>
      <c r="K52" s="13">
        <v>2.2000000000000002</v>
      </c>
      <c r="L52" s="13">
        <v>25</v>
      </c>
      <c r="M52" s="13">
        <v>400</v>
      </c>
      <c r="N52" s="13">
        <v>1</v>
      </c>
      <c r="O52" s="14">
        <f t="shared" si="16"/>
        <v>2.2000000000000002E-2</v>
      </c>
      <c r="P52" s="13"/>
      <c r="Q52" s="14"/>
      <c r="R52" s="13"/>
      <c r="T52" s="241"/>
      <c r="U52" s="241"/>
      <c r="V52" s="242"/>
      <c r="W52" s="12">
        <f>SUM(W8:W51)</f>
        <v>275</v>
      </c>
      <c r="X52" s="10">
        <f>SUM(X8:X51)</f>
        <v>10.465600000000006</v>
      </c>
      <c r="Y52" s="9">
        <f>SUM(Y8:Y51)</f>
        <v>275</v>
      </c>
      <c r="Z52" s="10">
        <f>SUM(Z8:Z51)</f>
        <v>10.4656</v>
      </c>
      <c r="AA52" s="9"/>
      <c r="AC52" s="13">
        <v>1.7</v>
      </c>
      <c r="AD52" s="13">
        <v>18</v>
      </c>
      <c r="AE52" s="13">
        <v>400</v>
      </c>
      <c r="AF52" s="13">
        <v>5</v>
      </c>
      <c r="AG52" s="14">
        <f t="shared" si="3"/>
        <v>6.1199999999999997E-2</v>
      </c>
      <c r="AH52" s="13"/>
      <c r="AI52" s="14"/>
      <c r="AJ52" s="13"/>
      <c r="AL52" s="13">
        <v>3.5</v>
      </c>
      <c r="AM52" s="13">
        <v>10</v>
      </c>
      <c r="AN52" s="13">
        <v>400</v>
      </c>
      <c r="AO52" s="13">
        <v>11</v>
      </c>
      <c r="AP52" s="14">
        <f t="shared" si="13"/>
        <v>0.154</v>
      </c>
      <c r="AQ52" s="13"/>
      <c r="AR52" s="14"/>
      <c r="AS52" s="13"/>
      <c r="AU52" s="13">
        <v>3</v>
      </c>
      <c r="AV52" s="13">
        <v>10</v>
      </c>
      <c r="AW52" s="13">
        <v>400</v>
      </c>
      <c r="AX52" s="13">
        <v>3</v>
      </c>
      <c r="AY52" s="14">
        <f t="shared" si="5"/>
        <v>3.5999999999999997E-2</v>
      </c>
      <c r="AZ52" s="13"/>
      <c r="BA52" s="95"/>
      <c r="BB52" s="41"/>
      <c r="BD52" s="13">
        <v>3</v>
      </c>
      <c r="BE52" s="13">
        <v>15</v>
      </c>
      <c r="BF52" s="13">
        <v>300</v>
      </c>
      <c r="BG52" s="13">
        <v>1</v>
      </c>
      <c r="BH52" s="14">
        <f t="shared" si="18"/>
        <v>1.35E-2</v>
      </c>
      <c r="BI52" s="13"/>
      <c r="BJ52" s="14"/>
      <c r="BK52" s="13"/>
      <c r="BM52" s="13">
        <v>2</v>
      </c>
      <c r="BN52" s="13">
        <v>12</v>
      </c>
      <c r="BO52" s="105">
        <v>400</v>
      </c>
      <c r="BP52" s="13">
        <v>1</v>
      </c>
      <c r="BQ52" s="14">
        <f t="shared" si="19"/>
        <v>9.5999999999999992E-3</v>
      </c>
      <c r="BR52" s="13"/>
      <c r="BS52" s="14"/>
      <c r="BT52" s="13"/>
      <c r="BV52" s="13">
        <v>13</v>
      </c>
      <c r="BW52" s="13">
        <v>15</v>
      </c>
      <c r="BX52" s="13">
        <v>400</v>
      </c>
      <c r="BY52" s="13">
        <v>1</v>
      </c>
      <c r="BZ52" s="14">
        <f t="shared" si="17"/>
        <v>7.8E-2</v>
      </c>
      <c r="CA52" s="13"/>
      <c r="CB52" s="14"/>
      <c r="CC52" s="13"/>
      <c r="CE52" s="13">
        <v>13</v>
      </c>
      <c r="CF52" s="13">
        <v>25</v>
      </c>
      <c r="CG52" s="13">
        <v>400</v>
      </c>
      <c r="CH52" s="13">
        <v>3</v>
      </c>
      <c r="CI52" s="14">
        <f t="shared" si="9"/>
        <v>0.39</v>
      </c>
      <c r="CJ52" s="13"/>
      <c r="CK52" s="14"/>
      <c r="CL52" s="13"/>
      <c r="CN52" s="122">
        <v>2</v>
      </c>
      <c r="CO52" s="122">
        <v>3</v>
      </c>
      <c r="CP52" s="122">
        <v>400</v>
      </c>
      <c r="CQ52" s="122">
        <v>650</v>
      </c>
      <c r="CR52" s="123">
        <f t="shared" si="10"/>
        <v>1.56</v>
      </c>
      <c r="CS52" s="122">
        <f>SUM(CQ8:CQ52)</f>
        <v>1183</v>
      </c>
      <c r="CT52" s="167">
        <f>SUM(CR8:CR52)</f>
        <v>13.323120000000001</v>
      </c>
      <c r="CU52" s="126" t="s">
        <v>23</v>
      </c>
      <c r="CW52" s="231"/>
      <c r="CX52" s="231"/>
      <c r="CY52" s="231"/>
      <c r="CZ52" s="231"/>
      <c r="DA52" s="231"/>
      <c r="DB52" s="231"/>
      <c r="DC52" s="231"/>
      <c r="DD52" s="231"/>
      <c r="DF52" s="231"/>
      <c r="DG52" s="231"/>
      <c r="DH52" s="231"/>
      <c r="DI52" s="231"/>
      <c r="DJ52" s="231"/>
      <c r="DK52" s="231"/>
      <c r="DL52" s="231"/>
      <c r="DM52" s="231"/>
    </row>
    <row r="53" spans="2:117" ht="17.25" thickTop="1" thickBot="1" x14ac:dyDescent="0.3">
      <c r="B53" s="13">
        <v>8</v>
      </c>
      <c r="C53" s="13">
        <v>20</v>
      </c>
      <c r="D53" s="13">
        <v>400</v>
      </c>
      <c r="E53" s="13">
        <v>2</v>
      </c>
      <c r="F53" s="20">
        <f t="shared" si="14"/>
        <v>0.128</v>
      </c>
      <c r="G53" s="13"/>
      <c r="H53" s="14"/>
      <c r="I53" s="13"/>
      <c r="K53" s="13">
        <v>2.2000000000000002</v>
      </c>
      <c r="L53" s="13">
        <v>23</v>
      </c>
      <c r="M53" s="13">
        <v>400</v>
      </c>
      <c r="N53" s="13">
        <v>2</v>
      </c>
      <c r="O53" s="14">
        <f t="shared" si="16"/>
        <v>4.0480000000000002E-2</v>
      </c>
      <c r="P53" s="13"/>
      <c r="Q53" s="14"/>
      <c r="R53" s="13"/>
      <c r="AC53" s="13">
        <v>1.7</v>
      </c>
      <c r="AD53" s="13">
        <v>15</v>
      </c>
      <c r="AE53" s="13">
        <v>400</v>
      </c>
      <c r="AF53" s="13">
        <v>27</v>
      </c>
      <c r="AG53" s="14">
        <f t="shared" si="3"/>
        <v>0.27539999999999998</v>
      </c>
      <c r="AH53" s="13"/>
      <c r="AI53" s="14"/>
      <c r="AJ53" s="13"/>
      <c r="AL53" s="13">
        <v>3.5</v>
      </c>
      <c r="AM53" s="13">
        <v>10</v>
      </c>
      <c r="AN53" s="13">
        <v>300</v>
      </c>
      <c r="AO53" s="13">
        <v>1</v>
      </c>
      <c r="AP53" s="14">
        <f t="shared" si="13"/>
        <v>1.0500000000000001E-2</v>
      </c>
      <c r="AQ53" s="13">
        <f>SUM(AO51:AO53)</f>
        <v>13</v>
      </c>
      <c r="AR53" s="14">
        <f>SUM(AP51:AP53)</f>
        <v>0.1925</v>
      </c>
      <c r="AS53" s="13"/>
      <c r="AU53" s="13">
        <v>6</v>
      </c>
      <c r="AV53" s="13">
        <v>15</v>
      </c>
      <c r="AW53" s="13">
        <v>300</v>
      </c>
      <c r="AX53" s="13">
        <v>1</v>
      </c>
      <c r="AY53" s="14">
        <f t="shared" si="5"/>
        <v>2.7E-2</v>
      </c>
      <c r="AZ53" s="13"/>
      <c r="BA53" s="95"/>
      <c r="BB53" s="41"/>
      <c r="BD53" s="13">
        <v>12</v>
      </c>
      <c r="BE53" s="13">
        <v>15</v>
      </c>
      <c r="BF53" s="13">
        <v>300</v>
      </c>
      <c r="BG53" s="13">
        <v>2</v>
      </c>
      <c r="BH53" s="14">
        <f t="shared" si="18"/>
        <v>0.108</v>
      </c>
      <c r="BI53" s="13"/>
      <c r="BJ53" s="14"/>
      <c r="BK53" s="13"/>
      <c r="BM53" s="119">
        <v>5</v>
      </c>
      <c r="BN53" s="119">
        <v>7</v>
      </c>
      <c r="BO53" s="127">
        <v>400</v>
      </c>
      <c r="BP53" s="119">
        <v>4</v>
      </c>
      <c r="BQ53" s="120">
        <f t="shared" si="19"/>
        <v>5.6000000000000001E-2</v>
      </c>
      <c r="BR53" s="119"/>
      <c r="BS53" s="120"/>
      <c r="BT53" s="119"/>
      <c r="BV53" s="13">
        <v>3.5</v>
      </c>
      <c r="BW53" s="13">
        <v>13</v>
      </c>
      <c r="BX53" s="13">
        <v>400</v>
      </c>
      <c r="BY53" s="13">
        <v>4</v>
      </c>
      <c r="BZ53" s="14">
        <f t="shared" si="17"/>
        <v>7.2800000000000004E-2</v>
      </c>
      <c r="CA53" s="13"/>
      <c r="CB53" s="14"/>
      <c r="CC53" s="13"/>
      <c r="CE53" s="13">
        <v>2.2000000000000002</v>
      </c>
      <c r="CF53" s="13">
        <v>20</v>
      </c>
      <c r="CG53" s="13">
        <v>400</v>
      </c>
      <c r="CH53" s="13">
        <v>6</v>
      </c>
      <c r="CI53" s="14">
        <f t="shared" si="9"/>
        <v>0.1056</v>
      </c>
      <c r="CJ53" s="13"/>
      <c r="CK53" s="14"/>
      <c r="CL53" s="13"/>
      <c r="CN53" s="115"/>
      <c r="CO53" s="115"/>
      <c r="CP53" s="115"/>
      <c r="CQ53" s="17">
        <f>SUM(CQ8:CQ52)</f>
        <v>1183</v>
      </c>
      <c r="CR53" s="32">
        <f>SUM(CR8:CR52)</f>
        <v>13.323120000000001</v>
      </c>
      <c r="CS53" s="17">
        <f>SUM(CS8:CS52)</f>
        <v>1183</v>
      </c>
      <c r="CT53" s="32">
        <f>SUM(CT8:CT52)</f>
        <v>13.323120000000001</v>
      </c>
      <c r="CU53" s="146"/>
      <c r="CW53" s="28" t="s">
        <v>18</v>
      </c>
      <c r="CX53" s="27" t="s">
        <v>175</v>
      </c>
      <c r="CY53" s="26"/>
      <c r="CZ53" s="26"/>
      <c r="DA53" s="26"/>
      <c r="DB53" s="26"/>
      <c r="DC53" s="196"/>
      <c r="DD53" s="196"/>
      <c r="DF53" s="28" t="s">
        <v>18</v>
      </c>
      <c r="DG53" s="27" t="s">
        <v>113</v>
      </c>
      <c r="DH53" s="26"/>
      <c r="DI53" s="26"/>
      <c r="DJ53" s="26"/>
      <c r="DK53" s="26"/>
      <c r="DL53" s="196"/>
      <c r="DM53" s="196"/>
    </row>
    <row r="54" spans="2:117" ht="16.5" thickTop="1" x14ac:dyDescent="0.25">
      <c r="B54" s="13">
        <v>8</v>
      </c>
      <c r="C54" s="13">
        <v>18</v>
      </c>
      <c r="D54" s="13">
        <v>400</v>
      </c>
      <c r="E54" s="13">
        <v>2</v>
      </c>
      <c r="F54" s="20">
        <f t="shared" si="14"/>
        <v>0.1152</v>
      </c>
      <c r="G54" s="13"/>
      <c r="H54" s="14"/>
      <c r="I54" s="13"/>
      <c r="K54" s="13">
        <v>2.2000000000000002</v>
      </c>
      <c r="L54" s="13">
        <v>20</v>
      </c>
      <c r="M54" s="13">
        <v>400</v>
      </c>
      <c r="N54" s="13">
        <v>1</v>
      </c>
      <c r="O54" s="14">
        <f t="shared" si="16"/>
        <v>1.7600000000000001E-2</v>
      </c>
      <c r="P54" s="13"/>
      <c r="Q54" s="14"/>
      <c r="R54" s="13"/>
      <c r="T54" s="231" t="s">
        <v>19</v>
      </c>
      <c r="U54" s="231"/>
      <c r="V54" s="231"/>
      <c r="W54" s="231"/>
      <c r="X54" s="231"/>
      <c r="Y54" s="231"/>
      <c r="Z54" s="231"/>
      <c r="AA54" s="231"/>
      <c r="AC54" s="13">
        <v>1.7</v>
      </c>
      <c r="AD54" s="13">
        <v>13</v>
      </c>
      <c r="AE54" s="13">
        <v>400</v>
      </c>
      <c r="AF54" s="13">
        <v>20</v>
      </c>
      <c r="AG54" s="14">
        <f t="shared" si="3"/>
        <v>0.17680000000000001</v>
      </c>
      <c r="AH54" s="13">
        <f>SUM(AF50:AF54)</f>
        <v>54</v>
      </c>
      <c r="AI54" s="14">
        <f>SUM(AG50:AG54)</f>
        <v>0.54604000000000008</v>
      </c>
      <c r="AJ54" s="13"/>
      <c r="AL54" s="13">
        <v>2.2000000000000002</v>
      </c>
      <c r="AM54" s="13">
        <v>20</v>
      </c>
      <c r="AN54" s="13">
        <v>400</v>
      </c>
      <c r="AO54" s="13">
        <v>1</v>
      </c>
      <c r="AP54" s="14">
        <f t="shared" si="13"/>
        <v>1.7600000000000001E-2</v>
      </c>
      <c r="AQ54" s="13"/>
      <c r="AR54" s="14"/>
      <c r="AS54" s="13"/>
      <c r="AU54" s="13">
        <v>3</v>
      </c>
      <c r="AV54" s="13">
        <v>15</v>
      </c>
      <c r="AW54" s="13">
        <v>300</v>
      </c>
      <c r="AX54" s="13">
        <v>2</v>
      </c>
      <c r="AY54" s="14">
        <f t="shared" si="5"/>
        <v>2.7E-2</v>
      </c>
      <c r="AZ54" s="13"/>
      <c r="BA54" s="95"/>
      <c r="BB54" s="41"/>
      <c r="BD54" s="13">
        <v>7</v>
      </c>
      <c r="BE54" s="13">
        <v>15</v>
      </c>
      <c r="BF54" s="13">
        <v>300</v>
      </c>
      <c r="BG54" s="13">
        <v>1</v>
      </c>
      <c r="BH54" s="14">
        <f t="shared" si="18"/>
        <v>3.15E-2</v>
      </c>
      <c r="BI54" s="13"/>
      <c r="BJ54" s="14"/>
      <c r="BK54" s="13"/>
      <c r="BM54" s="119">
        <v>3</v>
      </c>
      <c r="BN54" s="119">
        <v>5</v>
      </c>
      <c r="BO54" s="127">
        <v>400</v>
      </c>
      <c r="BP54" s="119">
        <v>10</v>
      </c>
      <c r="BQ54" s="120">
        <f t="shared" si="19"/>
        <v>0.06</v>
      </c>
      <c r="BR54" s="119"/>
      <c r="BS54" s="120"/>
      <c r="BT54" s="119"/>
      <c r="BV54" s="13">
        <v>2.2000000000000002</v>
      </c>
      <c r="BW54" s="13">
        <v>13</v>
      </c>
      <c r="BX54" s="13">
        <v>400</v>
      </c>
      <c r="BY54" s="13">
        <v>5</v>
      </c>
      <c r="BZ54" s="14">
        <f t="shared" si="17"/>
        <v>5.7200000000000001E-2</v>
      </c>
      <c r="CA54" s="13"/>
      <c r="CB54" s="14"/>
      <c r="CC54" s="13"/>
      <c r="CE54" s="13">
        <v>4.5</v>
      </c>
      <c r="CF54" s="13">
        <v>20</v>
      </c>
      <c r="CG54" s="13">
        <v>400</v>
      </c>
      <c r="CH54" s="13">
        <v>7</v>
      </c>
      <c r="CI54" s="14">
        <f t="shared" si="9"/>
        <v>0.252</v>
      </c>
      <c r="CJ54" s="13"/>
      <c r="CK54" s="14"/>
      <c r="CL54" s="13"/>
      <c r="CW54" s="28" t="s">
        <v>16</v>
      </c>
      <c r="CX54" s="27" t="s">
        <v>176</v>
      </c>
      <c r="CY54" s="26"/>
      <c r="CZ54" s="26"/>
      <c r="DA54" s="26"/>
      <c r="DB54" s="26"/>
      <c r="DC54" s="196"/>
      <c r="DD54" s="196"/>
      <c r="DF54" s="28" t="s">
        <v>16</v>
      </c>
      <c r="DG54" s="27" t="s">
        <v>114</v>
      </c>
      <c r="DH54" s="26"/>
      <c r="DI54" s="26"/>
      <c r="DJ54" s="26"/>
      <c r="DK54" s="26"/>
      <c r="DL54" s="196"/>
      <c r="DM54" s="196"/>
    </row>
    <row r="55" spans="2:117" ht="16.5" thickBot="1" x14ac:dyDescent="0.3">
      <c r="B55" s="13">
        <v>8</v>
      </c>
      <c r="C55" s="13">
        <v>15</v>
      </c>
      <c r="D55" s="13">
        <v>400</v>
      </c>
      <c r="E55" s="13">
        <v>12</v>
      </c>
      <c r="F55" s="20">
        <f t="shared" si="14"/>
        <v>0.57599999999999996</v>
      </c>
      <c r="G55" s="13"/>
      <c r="H55" s="14"/>
      <c r="I55" s="13"/>
      <c r="K55" s="13">
        <v>2.2000000000000002</v>
      </c>
      <c r="L55" s="13">
        <v>18</v>
      </c>
      <c r="M55" s="13">
        <v>400</v>
      </c>
      <c r="N55" s="13">
        <v>1</v>
      </c>
      <c r="O55" s="14">
        <f t="shared" si="16"/>
        <v>1.584E-2</v>
      </c>
      <c r="P55" s="13"/>
      <c r="Q55" s="14"/>
      <c r="R55" s="13"/>
      <c r="T55" s="231"/>
      <c r="U55" s="231"/>
      <c r="V55" s="231"/>
      <c r="W55" s="231"/>
      <c r="X55" s="231"/>
      <c r="Y55" s="231"/>
      <c r="Z55" s="231"/>
      <c r="AA55" s="231"/>
      <c r="AC55" s="237"/>
      <c r="AD55" s="237"/>
      <c r="AE55" s="238"/>
      <c r="AF55" s="17">
        <f>SUM(AF8:AF54)</f>
        <v>520</v>
      </c>
      <c r="AG55" s="32">
        <f>SUM(AG8:AG54)</f>
        <v>12.136519999999999</v>
      </c>
      <c r="AH55" s="17">
        <f>SUM(AH8:AH54)</f>
        <v>520</v>
      </c>
      <c r="AI55" s="32">
        <f>SUM(AI8:AI54)</f>
        <v>12.136519999999999</v>
      </c>
      <c r="AJ55" s="17"/>
      <c r="AL55" s="13">
        <v>2.2000000000000002</v>
      </c>
      <c r="AM55" s="13">
        <v>18</v>
      </c>
      <c r="AN55" s="13">
        <v>400</v>
      </c>
      <c r="AO55" s="13">
        <v>2</v>
      </c>
      <c r="AP55" s="14">
        <f t="shared" si="13"/>
        <v>3.168E-2</v>
      </c>
      <c r="AQ55" s="13"/>
      <c r="AR55" s="14"/>
      <c r="AS55" s="13"/>
      <c r="AU55" s="13">
        <v>10</v>
      </c>
      <c r="AV55" s="13">
        <v>15</v>
      </c>
      <c r="AW55" s="13">
        <v>300</v>
      </c>
      <c r="AX55" s="13">
        <v>1</v>
      </c>
      <c r="AY55" s="14">
        <f t="shared" si="5"/>
        <v>4.4999999999999998E-2</v>
      </c>
      <c r="AZ55" s="13"/>
      <c r="BA55" s="95"/>
      <c r="BB55" s="41"/>
      <c r="BD55" s="13">
        <v>7</v>
      </c>
      <c r="BE55" s="13">
        <v>12</v>
      </c>
      <c r="BF55" s="13">
        <v>300</v>
      </c>
      <c r="BG55" s="13">
        <v>1</v>
      </c>
      <c r="BH55" s="14">
        <f t="shared" si="18"/>
        <v>2.52E-2</v>
      </c>
      <c r="BI55" s="13"/>
      <c r="BJ55" s="14"/>
      <c r="BK55" s="13"/>
      <c r="BM55" s="119">
        <v>2</v>
      </c>
      <c r="BN55" s="119">
        <v>3</v>
      </c>
      <c r="BO55" s="127">
        <v>400</v>
      </c>
      <c r="BP55" s="119">
        <v>25</v>
      </c>
      <c r="BQ55" s="120">
        <f t="shared" si="19"/>
        <v>0.06</v>
      </c>
      <c r="BR55" s="119"/>
      <c r="BS55" s="120"/>
      <c r="BT55" s="119"/>
      <c r="BV55" s="13">
        <v>4.5</v>
      </c>
      <c r="BW55" s="13">
        <v>13</v>
      </c>
      <c r="BX55" s="13">
        <v>400</v>
      </c>
      <c r="BY55" s="13">
        <v>11</v>
      </c>
      <c r="BZ55" s="14">
        <f t="shared" si="17"/>
        <v>0.25740000000000002</v>
      </c>
      <c r="CA55" s="13"/>
      <c r="CB55" s="14"/>
      <c r="CC55" s="13"/>
      <c r="CE55" s="13">
        <v>8</v>
      </c>
      <c r="CF55" s="13">
        <v>20</v>
      </c>
      <c r="CG55" s="13">
        <v>400</v>
      </c>
      <c r="CH55" s="13">
        <v>2</v>
      </c>
      <c r="CI55" s="14">
        <f t="shared" si="9"/>
        <v>0.128</v>
      </c>
      <c r="CJ55" s="13"/>
      <c r="CK55" s="14"/>
      <c r="CL55" s="13"/>
      <c r="CN55" s="231" t="s">
        <v>19</v>
      </c>
      <c r="CO55" s="231"/>
      <c r="CP55" s="231"/>
      <c r="CQ55" s="231"/>
      <c r="CR55" s="231"/>
      <c r="CS55" s="231"/>
      <c r="CT55" s="231"/>
      <c r="CU55" s="231"/>
      <c r="CW55" s="43"/>
      <c r="CX55" s="25"/>
      <c r="CY55" s="25"/>
      <c r="CZ55" s="25"/>
      <c r="DA55" s="25"/>
      <c r="DB55" s="225" t="s">
        <v>174</v>
      </c>
      <c r="DC55" s="225"/>
      <c r="DD55" s="225"/>
      <c r="DF55" s="43"/>
      <c r="DG55" s="25"/>
      <c r="DH55" s="25"/>
      <c r="DI55" s="25"/>
      <c r="DJ55" s="25"/>
      <c r="DK55" s="225" t="s">
        <v>184</v>
      </c>
      <c r="DL55" s="225"/>
      <c r="DM55" s="225"/>
    </row>
    <row r="56" spans="2:117" ht="16.5" thickTop="1" x14ac:dyDescent="0.25">
      <c r="B56" s="13">
        <v>8</v>
      </c>
      <c r="C56" s="13">
        <v>10</v>
      </c>
      <c r="D56" s="13">
        <v>400</v>
      </c>
      <c r="E56" s="13">
        <v>5</v>
      </c>
      <c r="F56" s="20">
        <f t="shared" si="14"/>
        <v>0.16</v>
      </c>
      <c r="G56" s="13">
        <f>SUM(E50:E56)</f>
        <v>35</v>
      </c>
      <c r="H56" s="14">
        <f>SUM(F50:F56)</f>
        <v>2.2208000000000001</v>
      </c>
      <c r="I56" s="13"/>
      <c r="K56" s="13">
        <v>2.2000000000000002</v>
      </c>
      <c r="L56" s="13">
        <v>15</v>
      </c>
      <c r="M56" s="13">
        <v>400</v>
      </c>
      <c r="N56" s="13">
        <v>1</v>
      </c>
      <c r="O56" s="14">
        <f t="shared" si="16"/>
        <v>1.32E-2</v>
      </c>
      <c r="P56" s="13"/>
      <c r="Q56" s="14"/>
      <c r="R56" s="13"/>
      <c r="T56" s="28" t="s">
        <v>18</v>
      </c>
      <c r="U56" s="27" t="s">
        <v>34</v>
      </c>
      <c r="V56" s="26"/>
      <c r="W56" s="26"/>
      <c r="X56" s="26"/>
      <c r="Y56" s="26"/>
      <c r="Z56" s="26"/>
      <c r="AA56" s="26"/>
      <c r="AL56" s="13">
        <v>2.2000000000000002</v>
      </c>
      <c r="AM56" s="13">
        <v>15</v>
      </c>
      <c r="AN56" s="13">
        <v>300</v>
      </c>
      <c r="AO56" s="13">
        <v>1</v>
      </c>
      <c r="AP56" s="14">
        <f t="shared" si="13"/>
        <v>9.9000000000000008E-3</v>
      </c>
      <c r="AQ56" s="13"/>
      <c r="AR56" s="14"/>
      <c r="AS56" s="13"/>
      <c r="AU56" s="13">
        <v>3</v>
      </c>
      <c r="AV56" s="13">
        <v>10</v>
      </c>
      <c r="AW56" s="13">
        <v>300</v>
      </c>
      <c r="AX56" s="13">
        <v>1</v>
      </c>
      <c r="AY56" s="14">
        <f t="shared" si="5"/>
        <v>8.9999999999999993E-3</v>
      </c>
      <c r="AZ56" s="37">
        <f>SUM(AX8:AX56)</f>
        <v>165</v>
      </c>
      <c r="BA56" s="42">
        <f>SUM(AY8:AY56)</f>
        <v>6.0232000000000019</v>
      </c>
      <c r="BB56" s="41" t="s">
        <v>21</v>
      </c>
      <c r="BD56" s="13">
        <v>12</v>
      </c>
      <c r="BE56" s="13">
        <v>12</v>
      </c>
      <c r="BF56" s="13">
        <v>300</v>
      </c>
      <c r="BG56" s="13">
        <v>1</v>
      </c>
      <c r="BH56" s="14">
        <f t="shared" si="18"/>
        <v>4.3200000000000002E-2</v>
      </c>
      <c r="BI56" s="13"/>
      <c r="BJ56" s="14"/>
      <c r="BK56" s="13"/>
      <c r="BM56" s="119">
        <v>3</v>
      </c>
      <c r="BN56" s="119">
        <v>5</v>
      </c>
      <c r="BO56" s="119">
        <v>300</v>
      </c>
      <c r="BP56" s="119">
        <v>30</v>
      </c>
      <c r="BQ56" s="120">
        <f t="shared" si="19"/>
        <v>0.13500000000000001</v>
      </c>
      <c r="BR56" s="119"/>
      <c r="BS56" s="120"/>
      <c r="BT56" s="119"/>
      <c r="BV56" s="13">
        <v>10</v>
      </c>
      <c r="BW56" s="13">
        <v>13</v>
      </c>
      <c r="BX56" s="13">
        <v>400</v>
      </c>
      <c r="BY56" s="13">
        <v>3</v>
      </c>
      <c r="BZ56" s="14">
        <f t="shared" si="17"/>
        <v>0.156</v>
      </c>
      <c r="CA56" s="13"/>
      <c r="CB56" s="14"/>
      <c r="CC56" s="13"/>
      <c r="CE56" s="13">
        <v>10</v>
      </c>
      <c r="CF56" s="13">
        <v>20</v>
      </c>
      <c r="CG56" s="13">
        <v>400</v>
      </c>
      <c r="CH56" s="13">
        <v>6</v>
      </c>
      <c r="CI56" s="14">
        <f t="shared" si="9"/>
        <v>0.48</v>
      </c>
      <c r="CJ56" s="13"/>
      <c r="CK56" s="14"/>
      <c r="CL56" s="13"/>
      <c r="CN56" s="231"/>
      <c r="CO56" s="231"/>
      <c r="CP56" s="231"/>
      <c r="CQ56" s="231"/>
      <c r="CR56" s="231"/>
      <c r="CS56" s="231"/>
      <c r="CT56" s="231"/>
      <c r="CU56" s="231"/>
      <c r="CW56" s="226" t="s">
        <v>13</v>
      </c>
      <c r="CX56" s="227"/>
      <c r="CY56" s="228"/>
      <c r="CZ56" s="227" t="s">
        <v>12</v>
      </c>
      <c r="DA56" s="228"/>
      <c r="DB56" s="226" t="s">
        <v>12</v>
      </c>
      <c r="DC56" s="228"/>
      <c r="DD56" s="229" t="s">
        <v>11</v>
      </c>
      <c r="DF56" s="226" t="s">
        <v>13</v>
      </c>
      <c r="DG56" s="227"/>
      <c r="DH56" s="228"/>
      <c r="DI56" s="227" t="s">
        <v>12</v>
      </c>
      <c r="DJ56" s="228"/>
      <c r="DK56" s="227" t="s">
        <v>12</v>
      </c>
      <c r="DL56" s="228"/>
      <c r="DM56" s="229" t="s">
        <v>11</v>
      </c>
    </row>
    <row r="57" spans="2:117" ht="15.75" x14ac:dyDescent="0.25">
      <c r="B57" s="13">
        <v>4.2</v>
      </c>
      <c r="C57" s="13">
        <v>10</v>
      </c>
      <c r="D57" s="13">
        <v>400</v>
      </c>
      <c r="E57" s="13">
        <v>62</v>
      </c>
      <c r="F57" s="20">
        <f t="shared" si="14"/>
        <v>1.0416000000000001</v>
      </c>
      <c r="G57" s="13">
        <f>SUM(E57)</f>
        <v>62</v>
      </c>
      <c r="H57" s="14">
        <f>SUM(F57)</f>
        <v>1.0416000000000001</v>
      </c>
      <c r="I57" s="13"/>
      <c r="K57" s="13">
        <v>2.2000000000000002</v>
      </c>
      <c r="L57" s="13">
        <v>10</v>
      </c>
      <c r="M57" s="13">
        <v>400</v>
      </c>
      <c r="N57" s="13">
        <v>43</v>
      </c>
      <c r="O57" s="14">
        <f t="shared" si="16"/>
        <v>0.37840000000000001</v>
      </c>
      <c r="P57" s="19"/>
      <c r="Q57" s="19"/>
      <c r="R57" s="19"/>
      <c r="T57" s="28" t="s">
        <v>16</v>
      </c>
      <c r="U57" s="27" t="s">
        <v>33</v>
      </c>
      <c r="V57" s="26"/>
      <c r="W57" s="26"/>
      <c r="X57" s="26"/>
      <c r="Y57" s="26"/>
      <c r="Z57" s="26"/>
      <c r="AA57" s="26"/>
      <c r="AC57" s="231" t="s">
        <v>19</v>
      </c>
      <c r="AD57" s="231"/>
      <c r="AE57" s="231"/>
      <c r="AF57" s="231"/>
      <c r="AG57" s="231"/>
      <c r="AH57" s="231"/>
      <c r="AI57" s="231"/>
      <c r="AJ57" s="231"/>
      <c r="AL57" s="13">
        <v>2.2000000000000002</v>
      </c>
      <c r="AM57" s="13">
        <v>13</v>
      </c>
      <c r="AN57" s="13">
        <v>400</v>
      </c>
      <c r="AO57" s="13">
        <v>1</v>
      </c>
      <c r="AP57" s="14">
        <f t="shared" si="13"/>
        <v>1.1440000000000001E-2</v>
      </c>
      <c r="AQ57" s="13"/>
      <c r="AR57" s="14"/>
      <c r="AS57" s="13"/>
      <c r="AU57" s="13">
        <v>8</v>
      </c>
      <c r="AV57" s="13">
        <v>10</v>
      </c>
      <c r="AW57" s="13">
        <v>400</v>
      </c>
      <c r="AX57" s="13">
        <v>2</v>
      </c>
      <c r="AY57" s="14">
        <f t="shared" ref="AY57:AY83" si="20">AU57*AV57*AW57*AX57/1000000</f>
        <v>6.4000000000000001E-2</v>
      </c>
      <c r="AZ57" s="13"/>
      <c r="BA57" s="20"/>
      <c r="BB57" s="13"/>
      <c r="BD57" s="13">
        <v>6</v>
      </c>
      <c r="BE57" s="13">
        <v>10</v>
      </c>
      <c r="BF57" s="13">
        <v>300</v>
      </c>
      <c r="BG57" s="13">
        <v>3</v>
      </c>
      <c r="BH57" s="14">
        <f t="shared" si="18"/>
        <v>5.3999999999999999E-2</v>
      </c>
      <c r="BI57" s="13"/>
      <c r="BJ57" s="14"/>
      <c r="BK57" s="13"/>
      <c r="BM57" s="119">
        <v>2</v>
      </c>
      <c r="BN57" s="119">
        <v>3</v>
      </c>
      <c r="BO57" s="119">
        <v>300</v>
      </c>
      <c r="BP57" s="119">
        <v>25</v>
      </c>
      <c r="BQ57" s="120">
        <f t="shared" si="19"/>
        <v>4.4999999999999998E-2</v>
      </c>
      <c r="BR57" s="128">
        <f>SUM(BP45:BP57)</f>
        <v>103</v>
      </c>
      <c r="BS57" s="129">
        <f>SUM(BQ45:BQ57)</f>
        <v>0.61160000000000003</v>
      </c>
      <c r="BT57" s="121" t="s">
        <v>21</v>
      </c>
      <c r="BV57" s="13">
        <v>10</v>
      </c>
      <c r="BW57" s="13">
        <v>15</v>
      </c>
      <c r="BX57" s="13">
        <v>400</v>
      </c>
      <c r="BY57" s="13">
        <v>3</v>
      </c>
      <c r="BZ57" s="14">
        <f t="shared" si="17"/>
        <v>0.18</v>
      </c>
      <c r="CA57" s="13"/>
      <c r="CB57" s="14"/>
      <c r="CC57" s="13"/>
      <c r="CE57" s="13">
        <v>7</v>
      </c>
      <c r="CF57" s="13">
        <v>20</v>
      </c>
      <c r="CG57" s="13">
        <v>400</v>
      </c>
      <c r="CH57" s="13">
        <v>3</v>
      </c>
      <c r="CI57" s="14">
        <f t="shared" si="9"/>
        <v>0.16800000000000001</v>
      </c>
      <c r="CJ57" s="13"/>
      <c r="CK57" s="14"/>
      <c r="CL57" s="13"/>
      <c r="CN57" s="28" t="s">
        <v>18</v>
      </c>
      <c r="CO57" s="27" t="s">
        <v>136</v>
      </c>
      <c r="CP57" s="26"/>
      <c r="CQ57" s="26"/>
      <c r="CR57" s="26"/>
      <c r="CS57" s="26"/>
      <c r="CT57" s="236"/>
      <c r="CU57" s="236"/>
      <c r="CW57" s="24" t="s">
        <v>10</v>
      </c>
      <c r="CX57" s="23" t="s">
        <v>9</v>
      </c>
      <c r="CY57" s="23" t="s">
        <v>8</v>
      </c>
      <c r="CZ57" s="22" t="s">
        <v>7</v>
      </c>
      <c r="DA57" s="21" t="s">
        <v>6</v>
      </c>
      <c r="DB57" s="22" t="s">
        <v>7</v>
      </c>
      <c r="DC57" s="21" t="s">
        <v>6</v>
      </c>
      <c r="DD57" s="230"/>
      <c r="DF57" s="24" t="s">
        <v>10</v>
      </c>
      <c r="DG57" s="23" t="s">
        <v>9</v>
      </c>
      <c r="DH57" s="23" t="s">
        <v>8</v>
      </c>
      <c r="DI57" s="22" t="s">
        <v>7</v>
      </c>
      <c r="DJ57" s="21" t="s">
        <v>6</v>
      </c>
      <c r="DK57" s="22" t="s">
        <v>7</v>
      </c>
      <c r="DL57" s="21" t="s">
        <v>6</v>
      </c>
      <c r="DM57" s="230"/>
    </row>
    <row r="58" spans="2:117" ht="16.5" thickBot="1" x14ac:dyDescent="0.3">
      <c r="B58" s="13">
        <v>3.2</v>
      </c>
      <c r="C58" s="13">
        <v>13</v>
      </c>
      <c r="D58" s="13">
        <v>400</v>
      </c>
      <c r="E58" s="13">
        <v>16</v>
      </c>
      <c r="F58" s="20">
        <f>B58*C58*D58*E58/1000000</f>
        <v>0.26623999999999998</v>
      </c>
      <c r="G58" s="13"/>
      <c r="H58" s="20"/>
      <c r="I58" s="13"/>
      <c r="K58" s="122">
        <v>2</v>
      </c>
      <c r="L58" s="122">
        <v>3</v>
      </c>
      <c r="M58" s="122">
        <v>400</v>
      </c>
      <c r="N58" s="122">
        <v>150</v>
      </c>
      <c r="O58" s="123">
        <f t="shared" si="16"/>
        <v>0.36</v>
      </c>
      <c r="P58" s="130"/>
      <c r="Q58" s="130"/>
      <c r="R58" s="130"/>
      <c r="T58" s="25"/>
      <c r="U58" s="25"/>
      <c r="V58" s="25"/>
      <c r="W58" s="25"/>
      <c r="X58" s="25"/>
      <c r="Y58" s="225" t="s">
        <v>31</v>
      </c>
      <c r="Z58" s="225"/>
      <c r="AA58" s="225"/>
      <c r="AC58" s="231"/>
      <c r="AD58" s="231"/>
      <c r="AE58" s="231"/>
      <c r="AF58" s="231"/>
      <c r="AG58" s="231"/>
      <c r="AH58" s="231"/>
      <c r="AI58" s="231"/>
      <c r="AJ58" s="231"/>
      <c r="AL58" s="13">
        <v>2.2000000000000002</v>
      </c>
      <c r="AM58" s="13">
        <v>10</v>
      </c>
      <c r="AN58" s="13">
        <v>400</v>
      </c>
      <c r="AO58" s="13">
        <v>11</v>
      </c>
      <c r="AP58" s="14">
        <f t="shared" si="13"/>
        <v>9.6799999999999997E-2</v>
      </c>
      <c r="AQ58" s="13"/>
      <c r="AR58" s="14"/>
      <c r="AS58" s="13"/>
      <c r="AU58" s="13">
        <v>10</v>
      </c>
      <c r="AV58" s="13">
        <v>10</v>
      </c>
      <c r="AW58" s="13">
        <v>400</v>
      </c>
      <c r="AX58" s="13">
        <v>6</v>
      </c>
      <c r="AY58" s="14">
        <f t="shared" si="20"/>
        <v>0.24</v>
      </c>
      <c r="AZ58" s="13"/>
      <c r="BA58" s="14"/>
      <c r="BB58" s="13"/>
      <c r="BD58" s="13">
        <v>7</v>
      </c>
      <c r="BE58" s="13">
        <v>10</v>
      </c>
      <c r="BF58" s="13">
        <v>300</v>
      </c>
      <c r="BG58" s="13">
        <v>1</v>
      </c>
      <c r="BH58" s="14">
        <f t="shared" si="18"/>
        <v>2.1000000000000001E-2</v>
      </c>
      <c r="BI58" s="13">
        <f>SUM(BG42:BG58)</f>
        <v>107</v>
      </c>
      <c r="BJ58" s="100">
        <f>SUM(BH42:BH58)</f>
        <v>1.1315999999999997</v>
      </c>
      <c r="BK58" s="41" t="s">
        <v>21</v>
      </c>
      <c r="BM58" s="237"/>
      <c r="BN58" s="237"/>
      <c r="BO58" s="238"/>
      <c r="BP58" s="98">
        <f>SUM(BP8:BP57)</f>
        <v>836</v>
      </c>
      <c r="BQ58" s="48">
        <f>SUM(BQ8:BQ57)</f>
        <v>12.049799999999999</v>
      </c>
      <c r="BR58" s="98">
        <f>SUM(BR17:BR57)</f>
        <v>836</v>
      </c>
      <c r="BS58" s="48">
        <f>SUM(BS17:BS57)</f>
        <v>12.049799999999999</v>
      </c>
      <c r="BT58" s="104"/>
      <c r="BV58" s="13">
        <v>7</v>
      </c>
      <c r="BW58" s="13">
        <v>15</v>
      </c>
      <c r="BX58" s="13">
        <v>400</v>
      </c>
      <c r="BY58" s="13">
        <v>2</v>
      </c>
      <c r="BZ58" s="14">
        <f t="shared" si="17"/>
        <v>8.4000000000000005E-2</v>
      </c>
      <c r="CA58" s="13"/>
      <c r="CB58" s="14"/>
      <c r="CC58" s="13"/>
      <c r="CE58" s="13">
        <v>13</v>
      </c>
      <c r="CF58" s="13">
        <v>20</v>
      </c>
      <c r="CG58" s="13">
        <v>400</v>
      </c>
      <c r="CH58" s="13">
        <v>2</v>
      </c>
      <c r="CI58" s="14">
        <f t="shared" si="9"/>
        <v>0.20799999999999999</v>
      </c>
      <c r="CJ58" s="13"/>
      <c r="CK58" s="14"/>
      <c r="CL58" s="13"/>
      <c r="CN58" s="28" t="s">
        <v>16</v>
      </c>
      <c r="CO58" s="27" t="s">
        <v>137</v>
      </c>
      <c r="CP58" s="26"/>
      <c r="CQ58" s="26"/>
      <c r="CR58" s="26"/>
      <c r="CS58" s="26"/>
      <c r="CT58" s="236"/>
      <c r="CU58" s="236"/>
      <c r="CW58" s="13">
        <v>10</v>
      </c>
      <c r="CX58" s="13">
        <v>20</v>
      </c>
      <c r="CY58" s="13">
        <v>400</v>
      </c>
      <c r="CZ58" s="13">
        <v>7</v>
      </c>
      <c r="DA58" s="14">
        <f t="shared" ref="DA58:DA76" si="21">CW58*CX58*CY58*CZ58/1000000</f>
        <v>0.56000000000000005</v>
      </c>
      <c r="DB58" s="13"/>
      <c r="DC58" s="14"/>
      <c r="DD58" s="13"/>
      <c r="DF58" s="13">
        <v>15</v>
      </c>
      <c r="DG58" s="13">
        <v>20</v>
      </c>
      <c r="DH58" s="13">
        <v>400</v>
      </c>
      <c r="DI58" s="13">
        <v>1</v>
      </c>
      <c r="DJ58" s="14">
        <f t="shared" ref="DJ58:DJ102" si="22">DF58*DG58*DH58*DI58/1000000</f>
        <v>0.12</v>
      </c>
      <c r="DK58" s="13"/>
      <c r="DL58" s="14"/>
      <c r="DM58" s="13"/>
    </row>
    <row r="59" spans="2:117" ht="16.5" thickTop="1" x14ac:dyDescent="0.25">
      <c r="B59" s="13">
        <v>3.2</v>
      </c>
      <c r="C59" s="13">
        <v>11</v>
      </c>
      <c r="D59" s="13">
        <v>400</v>
      </c>
      <c r="E59" s="13">
        <v>38</v>
      </c>
      <c r="F59" s="20">
        <f>B59*C59*D59*E59/1000000</f>
        <v>0.53504000000000007</v>
      </c>
      <c r="G59" s="13">
        <f>SUM(E58:E59)</f>
        <v>54</v>
      </c>
      <c r="H59" s="20">
        <f>SUM(F58:F59)</f>
        <v>0.80127999999999999</v>
      </c>
      <c r="I59" s="19"/>
      <c r="K59" s="122">
        <v>2</v>
      </c>
      <c r="L59" s="122">
        <v>3</v>
      </c>
      <c r="M59" s="122">
        <v>300</v>
      </c>
      <c r="N59" s="122">
        <v>25</v>
      </c>
      <c r="O59" s="123">
        <f t="shared" si="16"/>
        <v>4.4999999999999998E-2</v>
      </c>
      <c r="P59" s="130">
        <f>SUM(N52:N59)</f>
        <v>224</v>
      </c>
      <c r="Q59" s="152">
        <f>SUM(O52:O59)</f>
        <v>0.89252000000000009</v>
      </c>
      <c r="R59" s="130"/>
      <c r="T59" s="226" t="s">
        <v>13</v>
      </c>
      <c r="U59" s="227"/>
      <c r="V59" s="228"/>
      <c r="W59" s="227" t="s">
        <v>12</v>
      </c>
      <c r="X59" s="228"/>
      <c r="Y59" s="227" t="s">
        <v>12</v>
      </c>
      <c r="Z59" s="228"/>
      <c r="AA59" s="229" t="s">
        <v>11</v>
      </c>
      <c r="AC59" s="28" t="s">
        <v>18</v>
      </c>
      <c r="AD59" s="27" t="s">
        <v>17</v>
      </c>
      <c r="AE59" s="26"/>
      <c r="AF59" s="26"/>
      <c r="AG59" s="26"/>
      <c r="AH59" s="26"/>
      <c r="AI59" s="26"/>
      <c r="AJ59" s="26"/>
      <c r="AL59" s="13">
        <v>2.2000000000000002</v>
      </c>
      <c r="AM59" s="13">
        <v>10</v>
      </c>
      <c r="AN59" s="13">
        <v>300</v>
      </c>
      <c r="AO59" s="13">
        <v>4</v>
      </c>
      <c r="AP59" s="14">
        <f t="shared" si="13"/>
        <v>2.64E-2</v>
      </c>
      <c r="AQ59" s="13">
        <f>SUM(AO54:AO59)</f>
        <v>20</v>
      </c>
      <c r="AR59" s="14">
        <f>SUM(AP54:AP59)</f>
        <v>0.19382000000000002</v>
      </c>
      <c r="AS59" s="13"/>
      <c r="AU59" s="13">
        <v>5</v>
      </c>
      <c r="AV59" s="13">
        <v>10</v>
      </c>
      <c r="AW59" s="13">
        <v>400</v>
      </c>
      <c r="AX59" s="13">
        <v>27</v>
      </c>
      <c r="AY59" s="14">
        <f t="shared" si="20"/>
        <v>0.54</v>
      </c>
      <c r="AZ59" s="13"/>
      <c r="BA59" s="14"/>
      <c r="BB59" s="13"/>
      <c r="BD59" s="239" t="s">
        <v>53</v>
      </c>
      <c r="BE59" s="239"/>
      <c r="BF59" s="240"/>
      <c r="BG59" s="37">
        <f>SUM(BG8:BG58)</f>
        <v>526</v>
      </c>
      <c r="BH59" s="36">
        <f>SUM(BH8:BH58)</f>
        <v>6.8025000000000002</v>
      </c>
      <c r="BI59" s="37">
        <f>SUM(BI8:BI58)</f>
        <v>526</v>
      </c>
      <c r="BJ59" s="36">
        <f>SUM(BJ8:BJ58)</f>
        <v>6.8024999999999993</v>
      </c>
      <c r="BK59" s="41"/>
      <c r="BV59" s="13">
        <v>4.5</v>
      </c>
      <c r="BW59" s="13">
        <v>10</v>
      </c>
      <c r="BX59" s="13">
        <v>400</v>
      </c>
      <c r="BY59" s="13">
        <v>56</v>
      </c>
      <c r="BZ59" s="14">
        <f t="shared" si="17"/>
        <v>1.008</v>
      </c>
      <c r="CA59" s="13"/>
      <c r="CB59" s="14"/>
      <c r="CC59" s="13"/>
      <c r="CE59" s="13">
        <v>3.5</v>
      </c>
      <c r="CF59" s="13">
        <v>20</v>
      </c>
      <c r="CG59" s="13">
        <v>400</v>
      </c>
      <c r="CH59" s="13">
        <v>4</v>
      </c>
      <c r="CI59" s="14">
        <f t="shared" si="9"/>
        <v>0.112</v>
      </c>
      <c r="CJ59" s="13"/>
      <c r="CK59" s="14"/>
      <c r="CL59" s="13"/>
      <c r="CN59" s="43"/>
      <c r="CO59" s="25"/>
      <c r="CP59" s="25"/>
      <c r="CQ59" s="25"/>
      <c r="CR59" s="25"/>
      <c r="CS59" s="225" t="s">
        <v>157</v>
      </c>
      <c r="CT59" s="225"/>
      <c r="CU59" s="225"/>
      <c r="CW59" s="13">
        <v>12.5</v>
      </c>
      <c r="CX59" s="13">
        <v>20</v>
      </c>
      <c r="CY59" s="13">
        <v>400</v>
      </c>
      <c r="CZ59" s="13">
        <v>7</v>
      </c>
      <c r="DA59" s="14">
        <f t="shared" si="21"/>
        <v>0.7</v>
      </c>
      <c r="DB59" s="13"/>
      <c r="DC59" s="14"/>
      <c r="DD59" s="13"/>
      <c r="DF59" s="13">
        <v>12</v>
      </c>
      <c r="DG59" s="13">
        <v>20</v>
      </c>
      <c r="DH59" s="13">
        <v>400</v>
      </c>
      <c r="DI59" s="13">
        <v>2</v>
      </c>
      <c r="DJ59" s="14">
        <f t="shared" si="22"/>
        <v>0.192</v>
      </c>
      <c r="DK59" s="13"/>
      <c r="DL59" s="14"/>
      <c r="DM59" s="13"/>
    </row>
    <row r="60" spans="2:117" ht="15.75" x14ac:dyDescent="0.25">
      <c r="B60" s="108">
        <v>4.2</v>
      </c>
      <c r="C60" s="108">
        <v>7</v>
      </c>
      <c r="D60" s="108">
        <v>400</v>
      </c>
      <c r="E60" s="108">
        <v>109</v>
      </c>
      <c r="F60" s="112">
        <f t="shared" si="14"/>
        <v>1.2818400000000001</v>
      </c>
      <c r="G60" s="108"/>
      <c r="H60" s="112"/>
      <c r="I60" s="108"/>
      <c r="K60" s="13">
        <v>1.7</v>
      </c>
      <c r="L60" s="13">
        <v>15</v>
      </c>
      <c r="M60" s="13">
        <v>400</v>
      </c>
      <c r="N60" s="13">
        <v>9</v>
      </c>
      <c r="O60" s="14">
        <f t="shared" si="16"/>
        <v>9.1800000000000007E-2</v>
      </c>
      <c r="P60" s="19"/>
      <c r="Q60" s="52"/>
      <c r="R60" s="19"/>
      <c r="T60" s="24" t="s">
        <v>10</v>
      </c>
      <c r="U60" s="23" t="s">
        <v>9</v>
      </c>
      <c r="V60" s="23" t="s">
        <v>8</v>
      </c>
      <c r="W60" s="22" t="s">
        <v>7</v>
      </c>
      <c r="X60" s="21" t="s">
        <v>6</v>
      </c>
      <c r="Y60" s="22" t="s">
        <v>7</v>
      </c>
      <c r="Z60" s="21" t="s">
        <v>6</v>
      </c>
      <c r="AA60" s="230"/>
      <c r="AC60" s="28" t="s">
        <v>16</v>
      </c>
      <c r="AD60" s="27" t="s">
        <v>15</v>
      </c>
      <c r="AE60" s="26"/>
      <c r="AF60" s="26"/>
      <c r="AG60" s="26"/>
      <c r="AH60" s="26"/>
      <c r="AI60" s="26"/>
      <c r="AJ60" s="26"/>
      <c r="AL60" s="13">
        <v>1.7</v>
      </c>
      <c r="AM60" s="13">
        <v>20</v>
      </c>
      <c r="AN60" s="13">
        <v>300</v>
      </c>
      <c r="AO60" s="13">
        <v>2</v>
      </c>
      <c r="AP60" s="14">
        <f t="shared" si="13"/>
        <v>2.0400000000000001E-2</v>
      </c>
      <c r="AQ60" s="13"/>
      <c r="AR60" s="14"/>
      <c r="AS60" s="13"/>
      <c r="AU60" s="13">
        <v>6</v>
      </c>
      <c r="AV60" s="13">
        <v>10</v>
      </c>
      <c r="AW60" s="13">
        <v>400</v>
      </c>
      <c r="AX60" s="13">
        <v>1</v>
      </c>
      <c r="AY60" s="14">
        <f t="shared" si="20"/>
        <v>2.4E-2</v>
      </c>
      <c r="AZ60" s="13"/>
      <c r="BA60" s="14"/>
      <c r="BB60" s="13"/>
      <c r="BD60" s="13">
        <v>4.5</v>
      </c>
      <c r="BE60" s="13">
        <v>15</v>
      </c>
      <c r="BF60" s="13">
        <v>400</v>
      </c>
      <c r="BG60" s="13">
        <v>3</v>
      </c>
      <c r="BH60" s="14">
        <f t="shared" ref="BH60:BH73" si="23">BD60*BE60*BF60*BG60/1000000</f>
        <v>8.1000000000000003E-2</v>
      </c>
      <c r="BI60" s="13"/>
      <c r="BJ60" s="14"/>
      <c r="BK60" s="13"/>
      <c r="BM60" s="231" t="s">
        <v>19</v>
      </c>
      <c r="BN60" s="231"/>
      <c r="BO60" s="231"/>
      <c r="BP60" s="231"/>
      <c r="BQ60" s="231"/>
      <c r="BR60" s="231"/>
      <c r="BS60" s="231"/>
      <c r="BT60" s="231"/>
      <c r="BV60" s="13">
        <v>3.5</v>
      </c>
      <c r="BW60" s="13">
        <v>10</v>
      </c>
      <c r="BX60" s="13">
        <v>400</v>
      </c>
      <c r="BY60" s="13">
        <v>6</v>
      </c>
      <c r="BZ60" s="14">
        <f t="shared" si="17"/>
        <v>8.4000000000000005E-2</v>
      </c>
      <c r="CA60" s="13"/>
      <c r="CB60" s="14"/>
      <c r="CC60" s="13"/>
      <c r="CE60" s="13">
        <v>4.5</v>
      </c>
      <c r="CF60" s="13">
        <v>15</v>
      </c>
      <c r="CG60" s="13">
        <v>400</v>
      </c>
      <c r="CH60" s="13">
        <v>3</v>
      </c>
      <c r="CI60" s="14">
        <f t="shared" si="9"/>
        <v>8.1000000000000003E-2</v>
      </c>
      <c r="CJ60" s="13"/>
      <c r="CK60" s="14"/>
      <c r="CL60" s="13"/>
      <c r="CN60" s="226" t="s">
        <v>13</v>
      </c>
      <c r="CO60" s="227"/>
      <c r="CP60" s="228"/>
      <c r="CQ60" s="227" t="s">
        <v>12</v>
      </c>
      <c r="CR60" s="228"/>
      <c r="CS60" s="227" t="s">
        <v>12</v>
      </c>
      <c r="CT60" s="228"/>
      <c r="CU60" s="229" t="s">
        <v>11</v>
      </c>
      <c r="CW60" s="13">
        <v>15</v>
      </c>
      <c r="CX60" s="13">
        <v>15</v>
      </c>
      <c r="CY60" s="13">
        <v>400</v>
      </c>
      <c r="CZ60" s="13">
        <v>5</v>
      </c>
      <c r="DA60" s="14">
        <f t="shared" si="21"/>
        <v>0.45</v>
      </c>
      <c r="DB60" s="13"/>
      <c r="DC60" s="14"/>
      <c r="DD60" s="13"/>
      <c r="DF60" s="13">
        <v>15</v>
      </c>
      <c r="DG60" s="13">
        <v>15</v>
      </c>
      <c r="DH60" s="13">
        <v>400</v>
      </c>
      <c r="DI60" s="13">
        <v>3</v>
      </c>
      <c r="DJ60" s="14">
        <f t="shared" si="22"/>
        <v>0.27</v>
      </c>
      <c r="DK60" s="13"/>
      <c r="DL60" s="14"/>
      <c r="DM60" s="13"/>
    </row>
    <row r="61" spans="2:117" ht="15.75" x14ac:dyDescent="0.25">
      <c r="B61" s="108">
        <v>3.2</v>
      </c>
      <c r="C61" s="108">
        <v>7</v>
      </c>
      <c r="D61" s="108">
        <v>400</v>
      </c>
      <c r="E61" s="108">
        <v>99</v>
      </c>
      <c r="F61" s="112">
        <f t="shared" si="14"/>
        <v>0.88704000000000005</v>
      </c>
      <c r="G61" s="113">
        <f>SUM(E58:E61)</f>
        <v>262</v>
      </c>
      <c r="H61" s="111">
        <f>SUM(F58:F61)</f>
        <v>2.9701599999999999</v>
      </c>
      <c r="I61" s="110"/>
      <c r="K61" s="13">
        <v>1.7</v>
      </c>
      <c r="L61" s="13">
        <v>10</v>
      </c>
      <c r="M61" s="13">
        <v>400</v>
      </c>
      <c r="N61" s="13">
        <v>66</v>
      </c>
      <c r="O61" s="14">
        <f t="shared" si="16"/>
        <v>0.44879999999999998</v>
      </c>
      <c r="P61" s="19">
        <f>SUM(N60:N61)</f>
        <v>75</v>
      </c>
      <c r="Q61" s="50">
        <f>SUM(O60:O61)</f>
        <v>0.54059999999999997</v>
      </c>
      <c r="R61" s="19"/>
      <c r="T61" s="13">
        <v>15</v>
      </c>
      <c r="U61" s="13">
        <v>20</v>
      </c>
      <c r="V61" s="13">
        <v>400</v>
      </c>
      <c r="W61" s="13">
        <v>1</v>
      </c>
      <c r="X61" s="14">
        <f t="shared" ref="X61:X99" si="24">T61*U61*V61*W61/1000000</f>
        <v>0.12</v>
      </c>
      <c r="Y61" s="13"/>
      <c r="Z61" s="14"/>
      <c r="AA61" s="13"/>
      <c r="AC61" s="25"/>
      <c r="AD61" s="25"/>
      <c r="AE61" s="25"/>
      <c r="AF61" s="25"/>
      <c r="AG61" s="25"/>
      <c r="AH61" s="225" t="s">
        <v>58</v>
      </c>
      <c r="AI61" s="225"/>
      <c r="AJ61" s="225"/>
      <c r="AL61" s="13">
        <v>1.7</v>
      </c>
      <c r="AM61" s="13">
        <v>18</v>
      </c>
      <c r="AN61" s="13">
        <v>300</v>
      </c>
      <c r="AO61" s="13">
        <v>2</v>
      </c>
      <c r="AP61" s="14">
        <f t="shared" si="13"/>
        <v>1.8360000000000001E-2</v>
      </c>
      <c r="AQ61" s="13"/>
      <c r="AR61" s="14"/>
      <c r="AS61" s="13"/>
      <c r="AU61" s="13">
        <v>2.2000000000000002</v>
      </c>
      <c r="AV61" s="13">
        <v>10</v>
      </c>
      <c r="AW61" s="13">
        <v>400</v>
      </c>
      <c r="AX61" s="13">
        <v>11</v>
      </c>
      <c r="AY61" s="14">
        <f t="shared" si="20"/>
        <v>9.6799999999999997E-2</v>
      </c>
      <c r="AZ61" s="13"/>
      <c r="BA61" s="14"/>
      <c r="BB61" s="13"/>
      <c r="BD61" s="13">
        <v>10</v>
      </c>
      <c r="BE61" s="13">
        <v>20</v>
      </c>
      <c r="BF61" s="13">
        <v>400</v>
      </c>
      <c r="BG61" s="13">
        <v>1</v>
      </c>
      <c r="BH61" s="14">
        <f t="shared" si="23"/>
        <v>0.08</v>
      </c>
      <c r="BI61" s="13"/>
      <c r="BJ61" s="14"/>
      <c r="BK61" s="13"/>
      <c r="BM61" s="231"/>
      <c r="BN61" s="231"/>
      <c r="BO61" s="231"/>
      <c r="BP61" s="231"/>
      <c r="BQ61" s="231"/>
      <c r="BR61" s="231"/>
      <c r="BS61" s="231"/>
      <c r="BT61" s="231"/>
      <c r="BV61" s="13">
        <v>2.2000000000000002</v>
      </c>
      <c r="BW61" s="13">
        <v>10</v>
      </c>
      <c r="BX61" s="13">
        <v>400</v>
      </c>
      <c r="BY61" s="13">
        <v>14</v>
      </c>
      <c r="BZ61" s="14">
        <f t="shared" si="17"/>
        <v>0.1232</v>
      </c>
      <c r="CA61" s="13"/>
      <c r="CB61" s="14"/>
      <c r="CC61" s="13"/>
      <c r="CE61" s="13">
        <v>2.2000000000000002</v>
      </c>
      <c r="CF61" s="13">
        <v>15</v>
      </c>
      <c r="CG61" s="13">
        <v>400</v>
      </c>
      <c r="CH61" s="13">
        <v>8</v>
      </c>
      <c r="CI61" s="14">
        <f t="shared" si="9"/>
        <v>0.1056</v>
      </c>
      <c r="CJ61" s="13"/>
      <c r="CK61" s="14"/>
      <c r="CL61" s="13"/>
      <c r="CN61" s="24" t="s">
        <v>10</v>
      </c>
      <c r="CO61" s="23" t="s">
        <v>9</v>
      </c>
      <c r="CP61" s="23" t="s">
        <v>8</v>
      </c>
      <c r="CQ61" s="22" t="s">
        <v>7</v>
      </c>
      <c r="CR61" s="21" t="s">
        <v>6</v>
      </c>
      <c r="CS61" s="22" t="s">
        <v>7</v>
      </c>
      <c r="CT61" s="21" t="s">
        <v>6</v>
      </c>
      <c r="CU61" s="230"/>
      <c r="CW61" s="13">
        <v>12.5</v>
      </c>
      <c r="CX61" s="13">
        <v>15</v>
      </c>
      <c r="CY61" s="13">
        <v>400</v>
      </c>
      <c r="CZ61" s="13">
        <v>5</v>
      </c>
      <c r="DA61" s="14">
        <f t="shared" si="21"/>
        <v>0.375</v>
      </c>
      <c r="DB61" s="13"/>
      <c r="DC61" s="14"/>
      <c r="DD61" s="13"/>
      <c r="DF61" s="13">
        <v>10</v>
      </c>
      <c r="DG61" s="13">
        <v>15</v>
      </c>
      <c r="DH61" s="13">
        <v>400</v>
      </c>
      <c r="DI61" s="13">
        <v>4</v>
      </c>
      <c r="DJ61" s="14">
        <f t="shared" si="22"/>
        <v>0.24</v>
      </c>
      <c r="DK61" s="13"/>
      <c r="DL61" s="14"/>
      <c r="DM61" s="13"/>
    </row>
    <row r="62" spans="2:117" ht="16.5" thickBot="1" x14ac:dyDescent="0.3">
      <c r="E62" s="49">
        <f>SUM(E36:E61)</f>
        <v>419</v>
      </c>
      <c r="F62" s="48">
        <f>SUM(F36:F61)</f>
        <v>12.034559999999999</v>
      </c>
      <c r="G62" s="17">
        <f>SUM(G36:G61)</f>
        <v>473</v>
      </c>
      <c r="H62" s="18">
        <f>SUM(H36:H61)</f>
        <v>12.835840000000001</v>
      </c>
      <c r="I62" s="17"/>
      <c r="N62" s="17">
        <f>SUM(N8:N61)</f>
        <v>647</v>
      </c>
      <c r="O62" s="18">
        <f>SUM(O8:O61)</f>
        <v>12.691960000000003</v>
      </c>
      <c r="P62" s="17">
        <f>SUM(P8:P61)</f>
        <v>647</v>
      </c>
      <c r="Q62" s="18">
        <f>SUM(Q8:Q61)</f>
        <v>12.69196</v>
      </c>
      <c r="R62" s="17"/>
      <c r="T62" s="13">
        <v>15</v>
      </c>
      <c r="U62" s="13">
        <v>15</v>
      </c>
      <c r="V62" s="13">
        <v>400</v>
      </c>
      <c r="W62" s="13">
        <v>2</v>
      </c>
      <c r="X62" s="14">
        <f t="shared" si="24"/>
        <v>0.18</v>
      </c>
      <c r="Y62" s="13">
        <f>SUM(W61:W62)</f>
        <v>3</v>
      </c>
      <c r="Z62" s="14">
        <f>SUM(X61:X62)</f>
        <v>0.3</v>
      </c>
      <c r="AA62" s="13"/>
      <c r="AC62" s="226" t="s">
        <v>13</v>
      </c>
      <c r="AD62" s="227"/>
      <c r="AE62" s="228"/>
      <c r="AF62" s="227" t="s">
        <v>12</v>
      </c>
      <c r="AG62" s="228"/>
      <c r="AH62" s="227" t="s">
        <v>12</v>
      </c>
      <c r="AI62" s="228"/>
      <c r="AJ62" s="229" t="s">
        <v>11</v>
      </c>
      <c r="AL62" s="13">
        <v>1.7</v>
      </c>
      <c r="AM62" s="13">
        <v>15</v>
      </c>
      <c r="AN62" s="13">
        <v>400</v>
      </c>
      <c r="AO62" s="13">
        <v>2</v>
      </c>
      <c r="AP62" s="14">
        <f t="shared" si="13"/>
        <v>2.0400000000000001E-2</v>
      </c>
      <c r="AQ62" s="13"/>
      <c r="AR62" s="14"/>
      <c r="AS62" s="13"/>
      <c r="AU62" s="13">
        <v>4</v>
      </c>
      <c r="AV62" s="13">
        <v>10</v>
      </c>
      <c r="AW62" s="13">
        <v>400</v>
      </c>
      <c r="AX62" s="13">
        <v>4</v>
      </c>
      <c r="AY62" s="14">
        <f t="shared" si="20"/>
        <v>6.4000000000000001E-2</v>
      </c>
      <c r="AZ62" s="13"/>
      <c r="BA62" s="14"/>
      <c r="BB62" s="13"/>
      <c r="BD62" s="13">
        <v>4.5</v>
      </c>
      <c r="BE62" s="13">
        <v>20</v>
      </c>
      <c r="BF62" s="13">
        <v>400</v>
      </c>
      <c r="BG62" s="13">
        <v>1</v>
      </c>
      <c r="BH62" s="14">
        <f t="shared" si="23"/>
        <v>3.5999999999999997E-2</v>
      </c>
      <c r="BI62" s="13"/>
      <c r="BJ62" s="14"/>
      <c r="BK62" s="13"/>
      <c r="BM62" s="28" t="s">
        <v>18</v>
      </c>
      <c r="BN62" s="27" t="s">
        <v>121</v>
      </c>
      <c r="BO62" s="26"/>
      <c r="BP62" s="26"/>
      <c r="BQ62" s="26"/>
      <c r="BR62" s="26"/>
      <c r="BS62" s="26"/>
      <c r="BT62" s="26"/>
      <c r="BV62" s="13">
        <v>7</v>
      </c>
      <c r="BW62" s="13">
        <v>10</v>
      </c>
      <c r="BX62" s="13">
        <v>400</v>
      </c>
      <c r="BY62" s="13">
        <v>6</v>
      </c>
      <c r="BZ62" s="14">
        <f t="shared" si="17"/>
        <v>0.16800000000000001</v>
      </c>
      <c r="CA62" s="13"/>
      <c r="CB62" s="14"/>
      <c r="CC62" s="13"/>
      <c r="CE62" s="13">
        <v>10</v>
      </c>
      <c r="CF62" s="13">
        <v>15</v>
      </c>
      <c r="CG62" s="13">
        <v>400</v>
      </c>
      <c r="CH62" s="13">
        <v>3</v>
      </c>
      <c r="CI62" s="14">
        <f t="shared" si="9"/>
        <v>0.18</v>
      </c>
      <c r="CJ62" s="13"/>
      <c r="CK62" s="14"/>
      <c r="CL62" s="13"/>
      <c r="CN62" s="13">
        <v>15</v>
      </c>
      <c r="CO62" s="13">
        <v>25</v>
      </c>
      <c r="CP62" s="13">
        <v>400</v>
      </c>
      <c r="CQ62" s="13">
        <v>1</v>
      </c>
      <c r="CR62" s="14">
        <f t="shared" ref="CR62:CR97" si="25">CN62*CO62*CP62*CQ62/1000000</f>
        <v>0.15</v>
      </c>
      <c r="CS62" s="13"/>
      <c r="CT62" s="14"/>
      <c r="CU62" s="13"/>
      <c r="CW62" s="13">
        <v>10</v>
      </c>
      <c r="CX62" s="13">
        <v>15</v>
      </c>
      <c r="CY62" s="13">
        <v>400</v>
      </c>
      <c r="CZ62" s="13">
        <v>13</v>
      </c>
      <c r="DA62" s="14">
        <f t="shared" si="21"/>
        <v>0.78</v>
      </c>
      <c r="DB62" s="13"/>
      <c r="DC62" s="14"/>
      <c r="DD62" s="13"/>
      <c r="DF62" s="13">
        <v>10</v>
      </c>
      <c r="DG62" s="13">
        <v>12</v>
      </c>
      <c r="DH62" s="13">
        <v>400</v>
      </c>
      <c r="DI62" s="13">
        <v>1</v>
      </c>
      <c r="DJ62" s="14">
        <f t="shared" si="22"/>
        <v>4.8000000000000001E-2</v>
      </c>
      <c r="DK62" s="13"/>
      <c r="DL62" s="14"/>
      <c r="DM62" s="13"/>
    </row>
    <row r="63" spans="2:117" ht="16.5" thickTop="1" x14ac:dyDescent="0.25">
      <c r="T63" s="13">
        <v>13</v>
      </c>
      <c r="U63" s="13">
        <v>30</v>
      </c>
      <c r="V63" s="13">
        <v>400</v>
      </c>
      <c r="W63" s="13">
        <v>1</v>
      </c>
      <c r="X63" s="14">
        <f t="shared" si="24"/>
        <v>0.156</v>
      </c>
      <c r="Y63" s="13"/>
      <c r="Z63" s="14"/>
      <c r="AA63" s="13"/>
      <c r="AC63" s="24" t="s">
        <v>10</v>
      </c>
      <c r="AD63" s="23" t="s">
        <v>9</v>
      </c>
      <c r="AE63" s="23" t="s">
        <v>8</v>
      </c>
      <c r="AF63" s="22" t="s">
        <v>7</v>
      </c>
      <c r="AG63" s="21" t="s">
        <v>6</v>
      </c>
      <c r="AH63" s="22" t="s">
        <v>7</v>
      </c>
      <c r="AI63" s="21" t="s">
        <v>6</v>
      </c>
      <c r="AJ63" s="230"/>
      <c r="AL63" s="13">
        <v>1.7</v>
      </c>
      <c r="AM63" s="13">
        <v>15</v>
      </c>
      <c r="AN63" s="13">
        <v>300</v>
      </c>
      <c r="AO63" s="13">
        <v>18</v>
      </c>
      <c r="AP63" s="14">
        <f t="shared" si="13"/>
        <v>0.13769999999999999</v>
      </c>
      <c r="AQ63" s="13"/>
      <c r="AR63" s="14"/>
      <c r="AS63" s="13"/>
      <c r="AU63" s="13">
        <v>13</v>
      </c>
      <c r="AV63" s="13">
        <v>20</v>
      </c>
      <c r="AW63" s="13">
        <v>400</v>
      </c>
      <c r="AX63" s="13">
        <v>1</v>
      </c>
      <c r="AY63" s="14">
        <f t="shared" si="20"/>
        <v>0.104</v>
      </c>
      <c r="AZ63" s="13"/>
      <c r="BA63" s="14"/>
      <c r="BB63" s="13"/>
      <c r="BD63" s="13">
        <v>13</v>
      </c>
      <c r="BE63" s="13">
        <v>25</v>
      </c>
      <c r="BF63" s="13">
        <v>400</v>
      </c>
      <c r="BG63" s="13">
        <v>1</v>
      </c>
      <c r="BH63" s="14">
        <f t="shared" si="23"/>
        <v>0.13</v>
      </c>
      <c r="BI63" s="13"/>
      <c r="BJ63" s="14"/>
      <c r="BK63" s="13"/>
      <c r="BM63" s="28" t="s">
        <v>16</v>
      </c>
      <c r="BN63" s="27" t="s">
        <v>73</v>
      </c>
      <c r="BO63" s="26"/>
      <c r="BP63" s="26"/>
      <c r="BQ63" s="26"/>
      <c r="BR63" s="26"/>
      <c r="BS63" s="26"/>
      <c r="BT63" s="26"/>
      <c r="BV63" s="13">
        <v>1.7</v>
      </c>
      <c r="BW63" s="13">
        <v>13</v>
      </c>
      <c r="BX63" s="13">
        <v>400</v>
      </c>
      <c r="BY63" s="13">
        <v>1</v>
      </c>
      <c r="BZ63" s="14">
        <f t="shared" si="17"/>
        <v>8.8400000000000006E-3</v>
      </c>
      <c r="CA63" s="13"/>
      <c r="CB63" s="14"/>
      <c r="CC63" s="13"/>
      <c r="CE63" s="13">
        <v>15</v>
      </c>
      <c r="CF63" s="13">
        <v>15</v>
      </c>
      <c r="CG63" s="13">
        <v>400</v>
      </c>
      <c r="CH63" s="13">
        <v>2</v>
      </c>
      <c r="CI63" s="14">
        <f t="shared" si="9"/>
        <v>0.18</v>
      </c>
      <c r="CJ63" s="13"/>
      <c r="CK63" s="14"/>
      <c r="CL63" s="13"/>
      <c r="CN63" s="13">
        <v>15</v>
      </c>
      <c r="CO63" s="13">
        <v>20</v>
      </c>
      <c r="CP63" s="13">
        <v>400</v>
      </c>
      <c r="CQ63" s="13">
        <v>1</v>
      </c>
      <c r="CR63" s="14">
        <f t="shared" si="25"/>
        <v>0.12</v>
      </c>
      <c r="CS63" s="13"/>
      <c r="CT63" s="14"/>
      <c r="CU63" s="13"/>
      <c r="CW63" s="13">
        <v>10</v>
      </c>
      <c r="CX63" s="13">
        <v>12.5</v>
      </c>
      <c r="CY63" s="13">
        <v>400</v>
      </c>
      <c r="CZ63" s="13">
        <v>3</v>
      </c>
      <c r="DA63" s="14">
        <f t="shared" si="21"/>
        <v>0.15</v>
      </c>
      <c r="DB63" s="13"/>
      <c r="DC63" s="14"/>
      <c r="DD63" s="41"/>
      <c r="DF63" s="13">
        <v>6</v>
      </c>
      <c r="DG63" s="13">
        <v>15</v>
      </c>
      <c r="DH63" s="13">
        <v>400</v>
      </c>
      <c r="DI63" s="13">
        <v>6</v>
      </c>
      <c r="DJ63" s="14">
        <f t="shared" si="22"/>
        <v>0.216</v>
      </c>
      <c r="DK63" s="13"/>
      <c r="DL63" s="14"/>
      <c r="DM63" s="41"/>
    </row>
    <row r="64" spans="2:117" ht="15.75" x14ac:dyDescent="0.25">
      <c r="B64" s="231" t="s">
        <v>19</v>
      </c>
      <c r="C64" s="231"/>
      <c r="D64" s="231"/>
      <c r="E64" s="231"/>
      <c r="F64" s="231"/>
      <c r="G64" s="231"/>
      <c r="H64" s="231"/>
      <c r="I64" s="231"/>
      <c r="K64" s="231" t="s">
        <v>19</v>
      </c>
      <c r="L64" s="231"/>
      <c r="M64" s="231"/>
      <c r="N64" s="231"/>
      <c r="O64" s="231"/>
      <c r="P64" s="231"/>
      <c r="Q64" s="231"/>
      <c r="R64" s="231"/>
      <c r="T64" s="13">
        <v>13</v>
      </c>
      <c r="U64" s="13">
        <v>25</v>
      </c>
      <c r="V64" s="13">
        <v>400</v>
      </c>
      <c r="W64" s="13">
        <v>4</v>
      </c>
      <c r="X64" s="14">
        <f t="shared" si="24"/>
        <v>0.52</v>
      </c>
      <c r="Y64" s="13"/>
      <c r="Z64" s="14"/>
      <c r="AA64" s="13"/>
      <c r="AC64" s="13">
        <v>15</v>
      </c>
      <c r="AD64" s="13">
        <v>30</v>
      </c>
      <c r="AE64" s="13">
        <v>400</v>
      </c>
      <c r="AF64" s="13">
        <v>1</v>
      </c>
      <c r="AG64" s="14">
        <f t="shared" ref="AG64:AG108" si="26">AC64*AD64*AE64*AF64/1000000</f>
        <v>0.18</v>
      </c>
      <c r="AH64" s="13"/>
      <c r="AI64" s="14"/>
      <c r="AJ64" s="13"/>
      <c r="AL64" s="13">
        <v>1.7</v>
      </c>
      <c r="AM64" s="13">
        <v>13</v>
      </c>
      <c r="AN64" s="13">
        <v>300</v>
      </c>
      <c r="AO64" s="13">
        <v>1</v>
      </c>
      <c r="AP64" s="14">
        <f t="shared" si="13"/>
        <v>6.6299999999999987E-3</v>
      </c>
      <c r="AQ64" s="13"/>
      <c r="AR64" s="14"/>
      <c r="AS64" s="13"/>
      <c r="AU64" s="13">
        <v>8</v>
      </c>
      <c r="AV64" s="13">
        <v>20</v>
      </c>
      <c r="AW64" s="13">
        <v>400</v>
      </c>
      <c r="AX64" s="13">
        <v>6</v>
      </c>
      <c r="AY64" s="14">
        <f t="shared" si="20"/>
        <v>0.38400000000000001</v>
      </c>
      <c r="AZ64" s="13"/>
      <c r="BA64" s="14"/>
      <c r="BB64" s="13"/>
      <c r="BD64" s="13">
        <v>7</v>
      </c>
      <c r="BE64" s="13">
        <v>25</v>
      </c>
      <c r="BF64" s="13">
        <v>400</v>
      </c>
      <c r="BG64" s="13">
        <v>1</v>
      </c>
      <c r="BH64" s="14">
        <f t="shared" si="23"/>
        <v>7.0000000000000007E-2</v>
      </c>
      <c r="BI64" s="13"/>
      <c r="BJ64" s="14"/>
      <c r="BK64" s="13"/>
      <c r="BM64" s="43"/>
      <c r="BN64" s="25"/>
      <c r="BO64" s="25"/>
      <c r="BP64" s="25"/>
      <c r="BQ64" s="25"/>
      <c r="BR64" s="225" t="s">
        <v>122</v>
      </c>
      <c r="BS64" s="225"/>
      <c r="BT64" s="225"/>
      <c r="BV64" s="13">
        <v>10</v>
      </c>
      <c r="BW64" s="13">
        <v>23</v>
      </c>
      <c r="BX64" s="13">
        <v>400</v>
      </c>
      <c r="BY64" s="13">
        <v>1</v>
      </c>
      <c r="BZ64" s="14">
        <f t="shared" si="17"/>
        <v>9.1999999999999998E-2</v>
      </c>
      <c r="CA64" s="13"/>
      <c r="CB64" s="14"/>
      <c r="CC64" s="13"/>
      <c r="CE64" s="13">
        <v>13</v>
      </c>
      <c r="CF64" s="13">
        <v>15</v>
      </c>
      <c r="CG64" s="13">
        <v>400</v>
      </c>
      <c r="CH64" s="13">
        <v>1</v>
      </c>
      <c r="CI64" s="14">
        <f t="shared" si="9"/>
        <v>7.8E-2</v>
      </c>
      <c r="CJ64" s="13"/>
      <c r="CK64" s="14"/>
      <c r="CL64" s="13"/>
      <c r="CN64" s="13">
        <v>15</v>
      </c>
      <c r="CO64" s="13">
        <v>15</v>
      </c>
      <c r="CP64" s="13">
        <v>400</v>
      </c>
      <c r="CQ64" s="13">
        <v>4</v>
      </c>
      <c r="CR64" s="14">
        <f t="shared" si="25"/>
        <v>0.36</v>
      </c>
      <c r="CS64" s="13"/>
      <c r="CT64" s="14"/>
      <c r="CU64" s="13"/>
      <c r="CW64" s="13">
        <v>5.5</v>
      </c>
      <c r="CX64" s="13">
        <v>10</v>
      </c>
      <c r="CY64" s="13">
        <v>400</v>
      </c>
      <c r="CZ64" s="13">
        <v>40</v>
      </c>
      <c r="DA64" s="14">
        <f t="shared" si="21"/>
        <v>0.88</v>
      </c>
      <c r="DB64" s="13"/>
      <c r="DC64" s="14"/>
      <c r="DD64" s="41"/>
      <c r="DF64" s="13">
        <v>12</v>
      </c>
      <c r="DG64" s="13">
        <v>15</v>
      </c>
      <c r="DH64" s="13">
        <v>400</v>
      </c>
      <c r="DI64" s="13">
        <v>3</v>
      </c>
      <c r="DJ64" s="14">
        <f t="shared" si="22"/>
        <v>0.216</v>
      </c>
      <c r="DK64" s="13"/>
      <c r="DL64" s="14"/>
      <c r="DM64" s="41"/>
    </row>
    <row r="65" spans="2:117" ht="15.75" x14ac:dyDescent="0.25">
      <c r="B65" s="231"/>
      <c r="C65" s="231"/>
      <c r="D65" s="231"/>
      <c r="E65" s="231"/>
      <c r="F65" s="231"/>
      <c r="G65" s="231"/>
      <c r="H65" s="231"/>
      <c r="I65" s="231"/>
      <c r="K65" s="231"/>
      <c r="L65" s="231"/>
      <c r="M65" s="231"/>
      <c r="N65" s="231"/>
      <c r="O65" s="231"/>
      <c r="P65" s="231"/>
      <c r="Q65" s="231"/>
      <c r="R65" s="231"/>
      <c r="T65" s="13">
        <v>13</v>
      </c>
      <c r="U65" s="13">
        <v>23</v>
      </c>
      <c r="V65" s="13">
        <v>400</v>
      </c>
      <c r="W65" s="13">
        <v>3</v>
      </c>
      <c r="X65" s="14">
        <f t="shared" si="24"/>
        <v>0.35880000000000001</v>
      </c>
      <c r="Y65" s="13"/>
      <c r="Z65" s="14"/>
      <c r="AA65" s="13"/>
      <c r="AC65" s="13">
        <v>15</v>
      </c>
      <c r="AD65" s="13">
        <v>20</v>
      </c>
      <c r="AE65" s="13">
        <v>400</v>
      </c>
      <c r="AF65" s="13">
        <v>2</v>
      </c>
      <c r="AG65" s="14">
        <f t="shared" si="26"/>
        <v>0.24</v>
      </c>
      <c r="AH65" s="13"/>
      <c r="AI65" s="14"/>
      <c r="AJ65" s="13"/>
      <c r="AL65" s="13">
        <v>1.7</v>
      </c>
      <c r="AM65" s="13">
        <v>10</v>
      </c>
      <c r="AN65" s="13">
        <v>400</v>
      </c>
      <c r="AO65" s="13">
        <v>8</v>
      </c>
      <c r="AP65" s="14">
        <f t="shared" si="13"/>
        <v>5.4399999999999997E-2</v>
      </c>
      <c r="AQ65" s="13"/>
      <c r="AR65" s="14"/>
      <c r="AS65" s="13"/>
      <c r="AU65" s="13">
        <v>7</v>
      </c>
      <c r="AV65" s="13">
        <v>20</v>
      </c>
      <c r="AW65" s="13">
        <v>400</v>
      </c>
      <c r="AX65" s="13">
        <v>2</v>
      </c>
      <c r="AY65" s="14">
        <f t="shared" si="20"/>
        <v>0.112</v>
      </c>
      <c r="AZ65" s="13"/>
      <c r="BA65" s="14"/>
      <c r="BB65" s="13"/>
      <c r="BD65" s="13">
        <v>10</v>
      </c>
      <c r="BE65" s="13">
        <v>25</v>
      </c>
      <c r="BF65" s="13">
        <v>400</v>
      </c>
      <c r="BG65" s="13">
        <v>1</v>
      </c>
      <c r="BH65" s="14">
        <f t="shared" si="23"/>
        <v>0.1</v>
      </c>
      <c r="BI65" s="13"/>
      <c r="BJ65" s="14"/>
      <c r="BK65" s="13"/>
      <c r="BM65" s="226" t="s">
        <v>13</v>
      </c>
      <c r="BN65" s="227"/>
      <c r="BO65" s="228"/>
      <c r="BP65" s="227" t="s">
        <v>12</v>
      </c>
      <c r="BQ65" s="228"/>
      <c r="BR65" s="227" t="s">
        <v>12</v>
      </c>
      <c r="BS65" s="228"/>
      <c r="BT65" s="229" t="s">
        <v>11</v>
      </c>
      <c r="BV65" s="13">
        <v>1.7</v>
      </c>
      <c r="BW65" s="13">
        <v>10</v>
      </c>
      <c r="BX65" s="13">
        <v>400</v>
      </c>
      <c r="BY65" s="13">
        <v>1</v>
      </c>
      <c r="BZ65" s="14">
        <f t="shared" si="17"/>
        <v>6.7999999999999996E-3</v>
      </c>
      <c r="CA65" s="13"/>
      <c r="CB65" s="14"/>
      <c r="CC65" s="13"/>
      <c r="CE65" s="13">
        <v>7</v>
      </c>
      <c r="CF65" s="13">
        <v>15</v>
      </c>
      <c r="CG65" s="13">
        <v>400</v>
      </c>
      <c r="CH65" s="13">
        <v>2</v>
      </c>
      <c r="CI65" s="14">
        <f t="shared" si="9"/>
        <v>8.4000000000000005E-2</v>
      </c>
      <c r="CJ65" s="13"/>
      <c r="CK65" s="14"/>
      <c r="CL65" s="13"/>
      <c r="CN65" s="13">
        <v>13</v>
      </c>
      <c r="CO65" s="13">
        <v>30</v>
      </c>
      <c r="CP65" s="13">
        <v>400</v>
      </c>
      <c r="CQ65" s="13">
        <v>1</v>
      </c>
      <c r="CR65" s="14">
        <f t="shared" si="25"/>
        <v>0.156</v>
      </c>
      <c r="CS65" s="13"/>
      <c r="CT65" s="14"/>
      <c r="CU65" s="13"/>
      <c r="CW65" s="13">
        <v>3</v>
      </c>
      <c r="CX65" s="13">
        <v>10</v>
      </c>
      <c r="CY65" s="13">
        <v>400</v>
      </c>
      <c r="CZ65" s="13">
        <v>2</v>
      </c>
      <c r="DA65" s="14">
        <f t="shared" si="21"/>
        <v>2.4E-2</v>
      </c>
      <c r="DB65" s="13"/>
      <c r="DC65" s="14"/>
      <c r="DD65" s="41"/>
      <c r="DF65" s="13">
        <v>10</v>
      </c>
      <c r="DG65" s="13">
        <v>20</v>
      </c>
      <c r="DH65" s="13">
        <v>400</v>
      </c>
      <c r="DI65" s="13">
        <v>1</v>
      </c>
      <c r="DJ65" s="14">
        <f t="shared" si="22"/>
        <v>0.08</v>
      </c>
      <c r="DK65" s="13"/>
      <c r="DL65" s="14"/>
      <c r="DM65" s="41"/>
    </row>
    <row r="66" spans="2:117" ht="15.75" x14ac:dyDescent="0.25">
      <c r="B66" s="28" t="s">
        <v>18</v>
      </c>
      <c r="C66" s="27" t="s">
        <v>17</v>
      </c>
      <c r="D66" s="26"/>
      <c r="E66" s="26"/>
      <c r="F66" s="26"/>
      <c r="G66" s="26"/>
      <c r="H66" s="26"/>
      <c r="I66" s="26"/>
      <c r="K66" s="28" t="s">
        <v>18</v>
      </c>
      <c r="L66" s="27" t="s">
        <v>34</v>
      </c>
      <c r="M66" s="26"/>
      <c r="N66" s="26"/>
      <c r="O66" s="26"/>
      <c r="P66" s="26"/>
      <c r="Q66" s="26"/>
      <c r="R66" s="26"/>
      <c r="T66" s="13">
        <v>13</v>
      </c>
      <c r="U66" s="13">
        <v>20</v>
      </c>
      <c r="V66" s="13">
        <v>400</v>
      </c>
      <c r="W66" s="13">
        <v>3</v>
      </c>
      <c r="X66" s="14">
        <f t="shared" si="24"/>
        <v>0.312</v>
      </c>
      <c r="Y66" s="13"/>
      <c r="Z66" s="14"/>
      <c r="AA66" s="13"/>
      <c r="AC66" s="13">
        <v>15</v>
      </c>
      <c r="AD66" s="13">
        <v>15</v>
      </c>
      <c r="AE66" s="13">
        <v>400</v>
      </c>
      <c r="AF66" s="13">
        <v>2</v>
      </c>
      <c r="AG66" s="14">
        <f t="shared" si="26"/>
        <v>0.18</v>
      </c>
      <c r="AH66" s="13">
        <f>SUM(AF64:AF66)</f>
        <v>5</v>
      </c>
      <c r="AI66" s="14">
        <f>SUM(AG64:AG66)</f>
        <v>0.6</v>
      </c>
      <c r="AJ66" s="13"/>
      <c r="AL66" s="13">
        <v>1.7</v>
      </c>
      <c r="AM66" s="13">
        <v>10</v>
      </c>
      <c r="AN66" s="13">
        <v>300</v>
      </c>
      <c r="AO66" s="13">
        <v>129</v>
      </c>
      <c r="AP66" s="14">
        <f t="shared" si="13"/>
        <v>0.65790000000000004</v>
      </c>
      <c r="AQ66" s="13">
        <f>SUM(AO60:AO66)</f>
        <v>162</v>
      </c>
      <c r="AR66" s="14">
        <f>SUM(AP60:AP66)</f>
        <v>0.91578999999999999</v>
      </c>
      <c r="AS66" s="13"/>
      <c r="AU66" s="13">
        <v>2</v>
      </c>
      <c r="AV66" s="13">
        <v>20</v>
      </c>
      <c r="AW66" s="13">
        <v>400</v>
      </c>
      <c r="AX66" s="13">
        <v>2</v>
      </c>
      <c r="AY66" s="14">
        <f t="shared" si="20"/>
        <v>3.2000000000000001E-2</v>
      </c>
      <c r="AZ66" s="13"/>
      <c r="BA66" s="14"/>
      <c r="BB66" s="13"/>
      <c r="BD66" s="13">
        <v>7</v>
      </c>
      <c r="BE66" s="13">
        <v>15</v>
      </c>
      <c r="BF66" s="13">
        <v>400</v>
      </c>
      <c r="BG66" s="13">
        <v>1</v>
      </c>
      <c r="BH66" s="14">
        <f t="shared" si="23"/>
        <v>4.2000000000000003E-2</v>
      </c>
      <c r="BI66" s="13"/>
      <c r="BJ66" s="14"/>
      <c r="BK66" s="13"/>
      <c r="BM66" s="24" t="s">
        <v>10</v>
      </c>
      <c r="BN66" s="23" t="s">
        <v>9</v>
      </c>
      <c r="BO66" s="23" t="s">
        <v>8</v>
      </c>
      <c r="BP66" s="22" t="s">
        <v>7</v>
      </c>
      <c r="BQ66" s="21" t="s">
        <v>6</v>
      </c>
      <c r="BR66" s="22" t="s">
        <v>7</v>
      </c>
      <c r="BS66" s="21" t="s">
        <v>6</v>
      </c>
      <c r="BT66" s="230"/>
      <c r="BV66" s="13">
        <v>10</v>
      </c>
      <c r="BW66" s="13">
        <v>10</v>
      </c>
      <c r="BX66" s="13">
        <v>400</v>
      </c>
      <c r="BY66" s="13">
        <v>1</v>
      </c>
      <c r="BZ66" s="14">
        <f t="shared" si="17"/>
        <v>0.04</v>
      </c>
      <c r="CA66" s="37"/>
      <c r="CB66" s="107"/>
      <c r="CC66" s="41"/>
      <c r="CE66" s="13">
        <v>4.5</v>
      </c>
      <c r="CF66" s="13">
        <v>15</v>
      </c>
      <c r="CG66" s="13">
        <v>400</v>
      </c>
      <c r="CH66" s="13">
        <v>2</v>
      </c>
      <c r="CI66" s="14">
        <f t="shared" si="9"/>
        <v>5.3999999999999999E-2</v>
      </c>
      <c r="CJ66" s="13"/>
      <c r="CK66" s="14"/>
      <c r="CL66" s="13"/>
      <c r="CN66" s="13">
        <v>13</v>
      </c>
      <c r="CO66" s="13">
        <v>25</v>
      </c>
      <c r="CP66" s="13">
        <v>400</v>
      </c>
      <c r="CQ66" s="13">
        <v>1</v>
      </c>
      <c r="CR66" s="14">
        <f t="shared" si="25"/>
        <v>0.13</v>
      </c>
      <c r="CS66" s="13"/>
      <c r="CT66" s="14"/>
      <c r="CU66" s="13"/>
      <c r="CW66" s="13">
        <v>2</v>
      </c>
      <c r="CX66" s="13">
        <v>10</v>
      </c>
      <c r="CY66" s="13">
        <v>400</v>
      </c>
      <c r="CZ66" s="13">
        <v>54</v>
      </c>
      <c r="DA66" s="14">
        <f t="shared" si="21"/>
        <v>0.432</v>
      </c>
      <c r="DB66" s="13"/>
      <c r="DC66" s="14"/>
      <c r="DD66" s="41"/>
      <c r="DF66" s="13">
        <v>10</v>
      </c>
      <c r="DG66" s="13">
        <v>25</v>
      </c>
      <c r="DH66" s="13">
        <v>400</v>
      </c>
      <c r="DI66" s="13">
        <v>1</v>
      </c>
      <c r="DJ66" s="14">
        <f t="shared" si="22"/>
        <v>0.1</v>
      </c>
      <c r="DK66" s="13"/>
      <c r="DL66" s="14"/>
      <c r="DM66" s="41"/>
    </row>
    <row r="67" spans="2:117" ht="16.5" thickBot="1" x14ac:dyDescent="0.3">
      <c r="B67" s="28" t="s">
        <v>16</v>
      </c>
      <c r="C67" s="27" t="s">
        <v>15</v>
      </c>
      <c r="D67" s="26"/>
      <c r="E67" s="26"/>
      <c r="F67" s="26"/>
      <c r="G67" s="26"/>
      <c r="H67" s="26"/>
      <c r="I67" s="26"/>
      <c r="K67" s="28" t="s">
        <v>16</v>
      </c>
      <c r="L67" s="27" t="s">
        <v>33</v>
      </c>
      <c r="M67" s="26"/>
      <c r="N67" s="26"/>
      <c r="O67" s="26"/>
      <c r="P67" s="26"/>
      <c r="Q67" s="26"/>
      <c r="R67" s="26"/>
      <c r="T67" s="13">
        <v>13</v>
      </c>
      <c r="U67" s="13">
        <v>15</v>
      </c>
      <c r="V67" s="13">
        <v>400</v>
      </c>
      <c r="W67" s="13">
        <v>3</v>
      </c>
      <c r="X67" s="14">
        <f t="shared" si="24"/>
        <v>0.23400000000000001</v>
      </c>
      <c r="Y67" s="13"/>
      <c r="Z67" s="14"/>
      <c r="AA67" s="13"/>
      <c r="AC67" s="13">
        <v>13</v>
      </c>
      <c r="AD67" s="13">
        <v>30</v>
      </c>
      <c r="AE67" s="13">
        <v>400</v>
      </c>
      <c r="AF67" s="13">
        <v>1</v>
      </c>
      <c r="AG67" s="14">
        <f t="shared" si="26"/>
        <v>0.156</v>
      </c>
      <c r="AH67" s="13"/>
      <c r="AI67" s="14"/>
      <c r="AJ67" s="13"/>
      <c r="AL67" s="237"/>
      <c r="AM67" s="237"/>
      <c r="AN67" s="238"/>
      <c r="AO67" s="17">
        <f>SUM(AO23:AO66)</f>
        <v>660</v>
      </c>
      <c r="AP67" s="32">
        <f>SUM(AP23:AP66)</f>
        <v>11.939109999999999</v>
      </c>
      <c r="AQ67" s="17">
        <f>SUM(AQ23:AQ66)</f>
        <v>660</v>
      </c>
      <c r="AR67" s="32">
        <f>SUM(AR23:AR66)</f>
        <v>11.939109999999999</v>
      </c>
      <c r="AS67" s="17"/>
      <c r="AU67" s="13">
        <v>13</v>
      </c>
      <c r="AV67" s="13">
        <v>20</v>
      </c>
      <c r="AW67" s="13">
        <v>400</v>
      </c>
      <c r="AX67" s="13">
        <v>2</v>
      </c>
      <c r="AY67" s="14">
        <f t="shared" si="20"/>
        <v>0.20799999999999999</v>
      </c>
      <c r="AZ67" s="13"/>
      <c r="BA67" s="14"/>
      <c r="BB67" s="13"/>
      <c r="BD67" s="13">
        <v>2.2000000000000002</v>
      </c>
      <c r="BE67" s="13">
        <v>15</v>
      </c>
      <c r="BF67" s="13">
        <v>400</v>
      </c>
      <c r="BG67" s="13">
        <v>2</v>
      </c>
      <c r="BH67" s="14">
        <f t="shared" si="23"/>
        <v>2.64E-2</v>
      </c>
      <c r="BI67" s="13"/>
      <c r="BJ67" s="14"/>
      <c r="BK67" s="13"/>
      <c r="BM67" s="13">
        <v>10</v>
      </c>
      <c r="BN67" s="13">
        <v>15</v>
      </c>
      <c r="BO67" s="13">
        <v>400</v>
      </c>
      <c r="BP67" s="13">
        <v>2</v>
      </c>
      <c r="BQ67" s="14">
        <f t="shared" ref="BQ67:BQ95" si="27">BM67*BN67*BO67*BP67/1000000</f>
        <v>0.12</v>
      </c>
      <c r="BR67" s="13"/>
      <c r="BS67" s="14"/>
      <c r="BT67" s="13"/>
      <c r="BV67" s="13">
        <v>2.2000000000000002</v>
      </c>
      <c r="BW67" s="13">
        <v>13</v>
      </c>
      <c r="BX67" s="13">
        <v>300</v>
      </c>
      <c r="BY67" s="13">
        <v>2</v>
      </c>
      <c r="BZ67" s="14">
        <f t="shared" si="17"/>
        <v>1.7160000000000002E-2</v>
      </c>
      <c r="CA67" s="13"/>
      <c r="CB67" s="14"/>
      <c r="CC67" s="13"/>
      <c r="CE67" s="13">
        <v>3.5</v>
      </c>
      <c r="CF67" s="13">
        <v>15</v>
      </c>
      <c r="CG67" s="13">
        <v>400</v>
      </c>
      <c r="CH67" s="13">
        <v>1</v>
      </c>
      <c r="CI67" s="14">
        <f t="shared" si="9"/>
        <v>2.1000000000000001E-2</v>
      </c>
      <c r="CJ67" s="13"/>
      <c r="CK67" s="14"/>
      <c r="CL67" s="13"/>
      <c r="CN67" s="13">
        <v>13</v>
      </c>
      <c r="CO67" s="13">
        <v>25</v>
      </c>
      <c r="CP67" s="13">
        <v>400</v>
      </c>
      <c r="CQ67" s="13">
        <v>1</v>
      </c>
      <c r="CR67" s="14">
        <f t="shared" si="25"/>
        <v>0.13</v>
      </c>
      <c r="CS67" s="13"/>
      <c r="CT67" s="14"/>
      <c r="CU67" s="41"/>
      <c r="CW67" s="13">
        <v>10</v>
      </c>
      <c r="CX67" s="13">
        <v>10</v>
      </c>
      <c r="CY67" s="13">
        <v>400</v>
      </c>
      <c r="CZ67" s="13">
        <v>5</v>
      </c>
      <c r="DA67" s="14">
        <f t="shared" si="21"/>
        <v>0.2</v>
      </c>
      <c r="DB67" s="13"/>
      <c r="DC67" s="14"/>
      <c r="DD67" s="41"/>
      <c r="DF67" s="13">
        <v>5.5</v>
      </c>
      <c r="DG67" s="13">
        <v>12</v>
      </c>
      <c r="DH67" s="13">
        <v>400</v>
      </c>
      <c r="DI67" s="13">
        <v>2</v>
      </c>
      <c r="DJ67" s="14">
        <f t="shared" si="22"/>
        <v>5.28E-2</v>
      </c>
      <c r="DK67" s="13"/>
      <c r="DL67" s="14"/>
      <c r="DM67" s="41"/>
    </row>
    <row r="68" spans="2:117" ht="16.5" thickTop="1" x14ac:dyDescent="0.25">
      <c r="B68" s="25"/>
      <c r="C68" s="25"/>
      <c r="D68" s="25"/>
      <c r="E68" s="25"/>
      <c r="F68" s="25"/>
      <c r="G68" s="225" t="s">
        <v>57</v>
      </c>
      <c r="H68" s="225"/>
      <c r="I68" s="225"/>
      <c r="K68" s="25"/>
      <c r="L68" s="25"/>
      <c r="M68" s="25"/>
      <c r="N68" s="25"/>
      <c r="O68" s="25"/>
      <c r="P68" s="225" t="s">
        <v>56</v>
      </c>
      <c r="Q68" s="225"/>
      <c r="R68" s="225"/>
      <c r="T68" s="13">
        <v>13</v>
      </c>
      <c r="U68" s="13">
        <v>13</v>
      </c>
      <c r="V68" s="13">
        <v>400</v>
      </c>
      <c r="W68" s="13">
        <v>1</v>
      </c>
      <c r="X68" s="14">
        <f t="shared" si="24"/>
        <v>6.7599999999999993E-2</v>
      </c>
      <c r="Y68" s="13">
        <f>SUM(W63:W68)</f>
        <v>15</v>
      </c>
      <c r="Z68" s="14">
        <f>SUM(X63:X68)</f>
        <v>1.6484000000000001</v>
      </c>
      <c r="AA68" s="13"/>
      <c r="AC68" s="13">
        <v>13</v>
      </c>
      <c r="AD68" s="13">
        <v>25</v>
      </c>
      <c r="AE68" s="13">
        <v>400</v>
      </c>
      <c r="AF68" s="13">
        <v>1</v>
      </c>
      <c r="AG68" s="14">
        <f t="shared" si="26"/>
        <v>0.13</v>
      </c>
      <c r="AH68" s="13"/>
      <c r="AI68" s="14"/>
      <c r="AJ68" s="13"/>
      <c r="AU68" s="13">
        <v>10</v>
      </c>
      <c r="AV68" s="13">
        <v>20</v>
      </c>
      <c r="AW68" s="13">
        <v>400</v>
      </c>
      <c r="AX68" s="13">
        <v>5</v>
      </c>
      <c r="AY68" s="14">
        <f t="shared" si="20"/>
        <v>0.4</v>
      </c>
      <c r="AZ68" s="13"/>
      <c r="BA68" s="14"/>
      <c r="BB68" s="13"/>
      <c r="BD68" s="13">
        <v>2.2000000000000002</v>
      </c>
      <c r="BE68" s="13">
        <v>10</v>
      </c>
      <c r="BF68" s="13">
        <v>400</v>
      </c>
      <c r="BG68" s="13">
        <v>46</v>
      </c>
      <c r="BH68" s="14">
        <f t="shared" si="23"/>
        <v>0.40479999999999999</v>
      </c>
      <c r="BI68" s="13"/>
      <c r="BJ68" s="14"/>
      <c r="BK68" s="13"/>
      <c r="BM68" s="13">
        <v>8</v>
      </c>
      <c r="BN68" s="13">
        <v>15</v>
      </c>
      <c r="BO68" s="13">
        <v>400</v>
      </c>
      <c r="BP68" s="13">
        <v>4</v>
      </c>
      <c r="BQ68" s="14">
        <f t="shared" si="27"/>
        <v>0.192</v>
      </c>
      <c r="BR68" s="13"/>
      <c r="BS68" s="14"/>
      <c r="BT68" s="13"/>
      <c r="BV68" s="13">
        <v>3.5</v>
      </c>
      <c r="BW68" s="13">
        <v>13</v>
      </c>
      <c r="BX68" s="13">
        <v>300</v>
      </c>
      <c r="BY68" s="13">
        <v>1</v>
      </c>
      <c r="BZ68" s="14">
        <f t="shared" si="17"/>
        <v>1.3650000000000001E-2</v>
      </c>
      <c r="CA68" s="13"/>
      <c r="CB68" s="14"/>
      <c r="CC68" s="13"/>
      <c r="CE68" s="13">
        <v>2.2000000000000002</v>
      </c>
      <c r="CF68" s="13">
        <v>15</v>
      </c>
      <c r="CG68" s="13">
        <v>400</v>
      </c>
      <c r="CH68" s="13">
        <v>6</v>
      </c>
      <c r="CI68" s="14">
        <f t="shared" si="9"/>
        <v>7.9200000000000007E-2</v>
      </c>
      <c r="CJ68" s="13"/>
      <c r="CK68" s="14"/>
      <c r="CL68" s="13"/>
      <c r="CN68" s="13">
        <v>13</v>
      </c>
      <c r="CO68" s="13">
        <v>25</v>
      </c>
      <c r="CP68" s="13">
        <v>400</v>
      </c>
      <c r="CQ68" s="13">
        <v>1</v>
      </c>
      <c r="CR68" s="14">
        <f t="shared" si="25"/>
        <v>0.13</v>
      </c>
      <c r="CS68" s="13"/>
      <c r="CT68" s="14"/>
      <c r="CU68" s="41"/>
      <c r="CW68" s="13">
        <v>15</v>
      </c>
      <c r="CX68" s="13">
        <v>25</v>
      </c>
      <c r="CY68" s="13">
        <v>400</v>
      </c>
      <c r="CZ68" s="13">
        <v>4</v>
      </c>
      <c r="DA68" s="14">
        <f t="shared" si="21"/>
        <v>0.6</v>
      </c>
      <c r="DB68" s="13"/>
      <c r="DC68" s="14"/>
      <c r="DD68" s="41"/>
      <c r="DF68" s="13">
        <v>10</v>
      </c>
      <c r="DG68" s="13">
        <v>12</v>
      </c>
      <c r="DH68" s="13">
        <v>400</v>
      </c>
      <c r="DI68" s="13">
        <v>1</v>
      </c>
      <c r="DJ68" s="14">
        <f t="shared" si="22"/>
        <v>4.8000000000000001E-2</v>
      </c>
      <c r="DK68" s="13"/>
      <c r="DL68" s="14"/>
      <c r="DM68" s="41"/>
    </row>
    <row r="69" spans="2:117" ht="15.75" x14ac:dyDescent="0.25">
      <c r="B69" s="226" t="s">
        <v>13</v>
      </c>
      <c r="C69" s="227"/>
      <c r="D69" s="228"/>
      <c r="E69" s="227" t="s">
        <v>12</v>
      </c>
      <c r="F69" s="228"/>
      <c r="G69" s="227" t="s">
        <v>12</v>
      </c>
      <c r="H69" s="228"/>
      <c r="I69" s="229" t="s">
        <v>11</v>
      </c>
      <c r="K69" s="226" t="s">
        <v>13</v>
      </c>
      <c r="L69" s="227"/>
      <c r="M69" s="228"/>
      <c r="N69" s="227" t="s">
        <v>12</v>
      </c>
      <c r="O69" s="228"/>
      <c r="P69" s="227" t="s">
        <v>12</v>
      </c>
      <c r="Q69" s="228"/>
      <c r="R69" s="229" t="s">
        <v>11</v>
      </c>
      <c r="T69" s="13">
        <v>10</v>
      </c>
      <c r="U69" s="13">
        <v>25</v>
      </c>
      <c r="V69" s="13">
        <v>400</v>
      </c>
      <c r="W69" s="13">
        <v>2</v>
      </c>
      <c r="X69" s="14">
        <f t="shared" si="24"/>
        <v>0.2</v>
      </c>
      <c r="Y69" s="13"/>
      <c r="Z69" s="14"/>
      <c r="AA69" s="13"/>
      <c r="AC69" s="13">
        <v>13</v>
      </c>
      <c r="AD69" s="13">
        <v>20</v>
      </c>
      <c r="AE69" s="13">
        <v>400</v>
      </c>
      <c r="AF69" s="13">
        <v>2</v>
      </c>
      <c r="AG69" s="14">
        <f t="shared" si="26"/>
        <v>0.20799999999999999</v>
      </c>
      <c r="AH69" s="13"/>
      <c r="AI69" s="14"/>
      <c r="AJ69" s="13"/>
      <c r="AL69" s="231" t="s">
        <v>19</v>
      </c>
      <c r="AM69" s="231"/>
      <c r="AN69" s="231"/>
      <c r="AO69" s="231"/>
      <c r="AP69" s="231"/>
      <c r="AQ69" s="231"/>
      <c r="AR69" s="231"/>
      <c r="AS69" s="231"/>
      <c r="AU69" s="13">
        <v>5</v>
      </c>
      <c r="AV69" s="13">
        <v>20</v>
      </c>
      <c r="AW69" s="13">
        <v>400</v>
      </c>
      <c r="AX69" s="13">
        <v>5</v>
      </c>
      <c r="AY69" s="14">
        <f t="shared" si="20"/>
        <v>0.2</v>
      </c>
      <c r="AZ69" s="37"/>
      <c r="BA69" s="42"/>
      <c r="BB69" s="41"/>
      <c r="BD69" s="13">
        <v>4.5</v>
      </c>
      <c r="BE69" s="13">
        <v>10</v>
      </c>
      <c r="BF69" s="13">
        <v>400</v>
      </c>
      <c r="BG69" s="13">
        <v>71</v>
      </c>
      <c r="BH69" s="14">
        <f t="shared" si="23"/>
        <v>1.278</v>
      </c>
      <c r="BI69" s="13"/>
      <c r="BJ69" s="14"/>
      <c r="BK69" s="13"/>
      <c r="BM69" s="13">
        <v>10</v>
      </c>
      <c r="BN69" s="13">
        <v>17</v>
      </c>
      <c r="BO69" s="13">
        <v>400</v>
      </c>
      <c r="BP69" s="13">
        <v>1</v>
      </c>
      <c r="BQ69" s="14">
        <f t="shared" si="27"/>
        <v>6.8000000000000005E-2</v>
      </c>
      <c r="BR69" s="13"/>
      <c r="BS69" s="14"/>
      <c r="BT69" s="13"/>
      <c r="BV69" s="13">
        <v>3.5</v>
      </c>
      <c r="BW69" s="13">
        <v>20</v>
      </c>
      <c r="BX69" s="13">
        <v>300</v>
      </c>
      <c r="BY69" s="13">
        <v>2</v>
      </c>
      <c r="BZ69" s="14">
        <f t="shared" si="17"/>
        <v>4.2000000000000003E-2</v>
      </c>
      <c r="CA69" s="13"/>
      <c r="CB69" s="14"/>
      <c r="CC69" s="13"/>
      <c r="CE69" s="13">
        <v>10</v>
      </c>
      <c r="CF69" s="13">
        <v>13</v>
      </c>
      <c r="CG69" s="13">
        <v>400</v>
      </c>
      <c r="CH69" s="13">
        <v>2</v>
      </c>
      <c r="CI69" s="14">
        <f t="shared" si="9"/>
        <v>0.104</v>
      </c>
      <c r="CJ69" s="13"/>
      <c r="CK69" s="14"/>
      <c r="CL69" s="13"/>
      <c r="CN69" s="13">
        <v>13</v>
      </c>
      <c r="CO69" s="13">
        <v>20</v>
      </c>
      <c r="CP69" s="13">
        <v>400</v>
      </c>
      <c r="CQ69" s="13">
        <v>1</v>
      </c>
      <c r="CR69" s="14">
        <f t="shared" si="25"/>
        <v>0.104</v>
      </c>
      <c r="CS69" s="13"/>
      <c r="CT69" s="14"/>
      <c r="CU69" s="41"/>
      <c r="CW69" s="13">
        <v>12</v>
      </c>
      <c r="CX69" s="13">
        <v>25</v>
      </c>
      <c r="CY69" s="13">
        <v>400</v>
      </c>
      <c r="CZ69" s="13">
        <v>5</v>
      </c>
      <c r="DA69" s="14">
        <f t="shared" si="21"/>
        <v>0.6</v>
      </c>
      <c r="DB69" s="13"/>
      <c r="DC69" s="14"/>
      <c r="DD69" s="41"/>
      <c r="DF69" s="13">
        <v>3</v>
      </c>
      <c r="DG69" s="13">
        <v>12</v>
      </c>
      <c r="DH69" s="13">
        <v>400</v>
      </c>
      <c r="DI69" s="13">
        <v>2</v>
      </c>
      <c r="DJ69" s="14">
        <f t="shared" si="22"/>
        <v>2.8799999999999999E-2</v>
      </c>
      <c r="DK69" s="13"/>
      <c r="DL69" s="14"/>
      <c r="DM69" s="41"/>
    </row>
    <row r="70" spans="2:117" ht="15.75" x14ac:dyDescent="0.25">
      <c r="B70" s="24" t="s">
        <v>10</v>
      </c>
      <c r="C70" s="23" t="s">
        <v>9</v>
      </c>
      <c r="D70" s="23" t="s">
        <v>8</v>
      </c>
      <c r="E70" s="22" t="s">
        <v>7</v>
      </c>
      <c r="F70" s="21" t="s">
        <v>6</v>
      </c>
      <c r="G70" s="22" t="s">
        <v>7</v>
      </c>
      <c r="H70" s="21" t="s">
        <v>6</v>
      </c>
      <c r="I70" s="230"/>
      <c r="K70" s="24" t="s">
        <v>10</v>
      </c>
      <c r="L70" s="23" t="s">
        <v>9</v>
      </c>
      <c r="M70" s="23" t="s">
        <v>8</v>
      </c>
      <c r="N70" s="22" t="s">
        <v>7</v>
      </c>
      <c r="O70" s="21" t="s">
        <v>6</v>
      </c>
      <c r="P70" s="22" t="s">
        <v>7</v>
      </c>
      <c r="Q70" s="21" t="s">
        <v>6</v>
      </c>
      <c r="R70" s="230"/>
      <c r="T70" s="13">
        <v>10</v>
      </c>
      <c r="U70" s="13">
        <v>23</v>
      </c>
      <c r="V70" s="13">
        <v>400</v>
      </c>
      <c r="W70" s="13">
        <v>5</v>
      </c>
      <c r="X70" s="14">
        <f t="shared" si="24"/>
        <v>0.46</v>
      </c>
      <c r="Y70" s="13"/>
      <c r="Z70" s="14"/>
      <c r="AA70" s="13"/>
      <c r="AC70" s="13">
        <v>13</v>
      </c>
      <c r="AD70" s="13">
        <v>18</v>
      </c>
      <c r="AE70" s="13">
        <v>400</v>
      </c>
      <c r="AF70" s="13">
        <v>1</v>
      </c>
      <c r="AG70" s="14">
        <f t="shared" si="26"/>
        <v>9.3600000000000003E-2</v>
      </c>
      <c r="AH70" s="13"/>
      <c r="AI70" s="14"/>
      <c r="AJ70" s="13"/>
      <c r="AL70" s="231"/>
      <c r="AM70" s="231"/>
      <c r="AN70" s="231"/>
      <c r="AO70" s="231"/>
      <c r="AP70" s="231"/>
      <c r="AQ70" s="231"/>
      <c r="AR70" s="231"/>
      <c r="AS70" s="231"/>
      <c r="AU70" s="13">
        <v>4</v>
      </c>
      <c r="AV70" s="13">
        <v>20</v>
      </c>
      <c r="AW70" s="13">
        <v>400</v>
      </c>
      <c r="AX70" s="13">
        <v>1</v>
      </c>
      <c r="AY70" s="14">
        <f t="shared" si="20"/>
        <v>3.2000000000000001E-2</v>
      </c>
      <c r="AZ70" s="13"/>
      <c r="BA70" s="14"/>
      <c r="BB70" s="13"/>
      <c r="BD70" s="13">
        <v>7</v>
      </c>
      <c r="BE70" s="13">
        <v>10</v>
      </c>
      <c r="BF70" s="13">
        <v>400</v>
      </c>
      <c r="BG70" s="13">
        <v>11</v>
      </c>
      <c r="BH70" s="14">
        <f t="shared" si="23"/>
        <v>0.308</v>
      </c>
      <c r="BI70" s="13"/>
      <c r="BJ70" s="14"/>
      <c r="BK70" s="13"/>
      <c r="BM70" s="13">
        <v>10</v>
      </c>
      <c r="BN70" s="13">
        <v>20</v>
      </c>
      <c r="BO70" s="13">
        <v>400</v>
      </c>
      <c r="BP70" s="13">
        <v>3</v>
      </c>
      <c r="BQ70" s="14">
        <f t="shared" si="27"/>
        <v>0.24</v>
      </c>
      <c r="BR70" s="13"/>
      <c r="BS70" s="14"/>
      <c r="BT70" s="13"/>
      <c r="BV70" s="13">
        <v>2.2000000000000002</v>
      </c>
      <c r="BW70" s="13">
        <v>15</v>
      </c>
      <c r="BX70" s="13">
        <v>300</v>
      </c>
      <c r="BY70" s="13">
        <v>1</v>
      </c>
      <c r="BZ70" s="14">
        <f t="shared" si="17"/>
        <v>9.9000000000000008E-3</v>
      </c>
      <c r="CA70" s="13"/>
      <c r="CB70" s="14"/>
      <c r="CC70" s="13"/>
      <c r="CE70" s="13">
        <v>3.5</v>
      </c>
      <c r="CF70" s="13">
        <v>13</v>
      </c>
      <c r="CG70" s="13">
        <v>400</v>
      </c>
      <c r="CH70" s="13">
        <v>4</v>
      </c>
      <c r="CI70" s="14">
        <f t="shared" si="9"/>
        <v>7.2800000000000004E-2</v>
      </c>
      <c r="CJ70" s="13"/>
      <c r="CK70" s="14"/>
      <c r="CL70" s="13"/>
      <c r="CN70" s="13">
        <v>13</v>
      </c>
      <c r="CO70" s="13">
        <v>15</v>
      </c>
      <c r="CP70" s="13">
        <v>400</v>
      </c>
      <c r="CQ70" s="13">
        <v>2</v>
      </c>
      <c r="CR70" s="14">
        <f t="shared" si="25"/>
        <v>0.156</v>
      </c>
      <c r="CS70" s="13"/>
      <c r="CT70" s="14"/>
      <c r="CU70" s="41"/>
      <c r="CW70" s="13">
        <v>15</v>
      </c>
      <c r="CX70" s="13">
        <v>20</v>
      </c>
      <c r="CY70" s="13">
        <v>400</v>
      </c>
      <c r="CZ70" s="13">
        <v>2</v>
      </c>
      <c r="DA70" s="14">
        <f t="shared" si="21"/>
        <v>0.24</v>
      </c>
      <c r="DB70" s="13"/>
      <c r="DC70" s="14"/>
      <c r="DD70" s="41"/>
      <c r="DF70" s="13">
        <v>3</v>
      </c>
      <c r="DG70" s="13">
        <v>15</v>
      </c>
      <c r="DH70" s="13">
        <v>400</v>
      </c>
      <c r="DI70" s="13">
        <v>3</v>
      </c>
      <c r="DJ70" s="14">
        <f t="shared" si="22"/>
        <v>5.3999999999999999E-2</v>
      </c>
      <c r="DK70" s="13"/>
      <c r="DL70" s="14"/>
      <c r="DM70" s="41"/>
    </row>
    <row r="71" spans="2:117" ht="15.75" x14ac:dyDescent="0.25">
      <c r="B71" s="13">
        <v>15</v>
      </c>
      <c r="C71" s="13">
        <v>33</v>
      </c>
      <c r="D71" s="13">
        <v>400</v>
      </c>
      <c r="E71" s="13">
        <v>1</v>
      </c>
      <c r="F71" s="20">
        <f t="shared" ref="F71:F101" si="28">B71*C71*D71*E71/1000000</f>
        <v>0.19800000000000001</v>
      </c>
      <c r="G71" s="13"/>
      <c r="H71" s="14"/>
      <c r="I71" s="13"/>
      <c r="K71" s="122">
        <v>4</v>
      </c>
      <c r="L71" s="122">
        <v>6</v>
      </c>
      <c r="M71" s="122">
        <v>400</v>
      </c>
      <c r="N71" s="122">
        <v>12</v>
      </c>
      <c r="O71" s="123">
        <f t="shared" ref="O71:O109" si="29">K71*L71*M71*N71/1000000</f>
        <v>0.1152</v>
      </c>
      <c r="P71" s="122"/>
      <c r="Q71" s="123"/>
      <c r="R71" s="122"/>
      <c r="T71" s="13">
        <v>10</v>
      </c>
      <c r="U71" s="13">
        <v>20</v>
      </c>
      <c r="V71" s="13">
        <v>400</v>
      </c>
      <c r="W71" s="13">
        <v>9</v>
      </c>
      <c r="X71" s="14">
        <f t="shared" si="24"/>
        <v>0.72</v>
      </c>
      <c r="Y71" s="13"/>
      <c r="Z71" s="14"/>
      <c r="AA71" s="13"/>
      <c r="AC71" s="13">
        <v>13</v>
      </c>
      <c r="AD71" s="13">
        <v>15</v>
      </c>
      <c r="AE71" s="13">
        <v>400</v>
      </c>
      <c r="AF71" s="13">
        <v>1</v>
      </c>
      <c r="AG71" s="14">
        <f t="shared" si="26"/>
        <v>7.8E-2</v>
      </c>
      <c r="AH71" s="13">
        <f>SUM(AF67:AF71)</f>
        <v>6</v>
      </c>
      <c r="AI71" s="14">
        <f>SUM(AG67:AG71)</f>
        <v>0.66559999999999997</v>
      </c>
      <c r="AJ71" s="13"/>
      <c r="AL71" s="28" t="s">
        <v>18</v>
      </c>
      <c r="AM71" s="27" t="s">
        <v>17</v>
      </c>
      <c r="AN71" s="26"/>
      <c r="AO71" s="26"/>
      <c r="AP71" s="26"/>
      <c r="AQ71" s="26"/>
      <c r="AR71" s="26"/>
      <c r="AS71" s="26"/>
      <c r="AU71" s="13">
        <v>15</v>
      </c>
      <c r="AV71" s="13">
        <v>20</v>
      </c>
      <c r="AW71" s="13">
        <v>400</v>
      </c>
      <c r="AX71" s="13">
        <v>1</v>
      </c>
      <c r="AY71" s="14">
        <f t="shared" si="20"/>
        <v>0.12</v>
      </c>
      <c r="AZ71" s="13"/>
      <c r="BA71" s="14"/>
      <c r="BB71" s="13"/>
      <c r="BD71" s="13">
        <v>3.5</v>
      </c>
      <c r="BE71" s="13">
        <v>10</v>
      </c>
      <c r="BF71" s="13">
        <v>400</v>
      </c>
      <c r="BG71" s="13">
        <v>17</v>
      </c>
      <c r="BH71" s="14">
        <f t="shared" si="23"/>
        <v>0.23799999999999999</v>
      </c>
      <c r="BI71" s="13"/>
      <c r="BJ71" s="14"/>
      <c r="BK71" s="13"/>
      <c r="BM71" s="13">
        <v>6</v>
      </c>
      <c r="BN71" s="13">
        <v>20</v>
      </c>
      <c r="BO71" s="13">
        <v>400</v>
      </c>
      <c r="BP71" s="13">
        <v>2</v>
      </c>
      <c r="BQ71" s="14">
        <f t="shared" si="27"/>
        <v>9.6000000000000002E-2</v>
      </c>
      <c r="BR71" s="13"/>
      <c r="BS71" s="14"/>
      <c r="BT71" s="13"/>
      <c r="BV71" s="13">
        <v>3.5</v>
      </c>
      <c r="BW71" s="13">
        <v>15</v>
      </c>
      <c r="BX71" s="13">
        <v>300</v>
      </c>
      <c r="BY71" s="13">
        <v>1</v>
      </c>
      <c r="BZ71" s="14">
        <f t="shared" si="17"/>
        <v>1.575E-2</v>
      </c>
      <c r="CA71" s="13"/>
      <c r="CB71" s="14"/>
      <c r="CC71" s="13"/>
      <c r="CE71" s="13">
        <v>4.5</v>
      </c>
      <c r="CF71" s="13">
        <v>13</v>
      </c>
      <c r="CG71" s="13">
        <v>400</v>
      </c>
      <c r="CH71" s="13">
        <v>9</v>
      </c>
      <c r="CI71" s="14">
        <f t="shared" si="9"/>
        <v>0.21060000000000001</v>
      </c>
      <c r="CJ71" s="13"/>
      <c r="CK71" s="14"/>
      <c r="CL71" s="13"/>
      <c r="CN71" s="13">
        <v>13</v>
      </c>
      <c r="CO71" s="13">
        <v>15</v>
      </c>
      <c r="CP71" s="13">
        <v>400</v>
      </c>
      <c r="CQ71" s="13">
        <v>1</v>
      </c>
      <c r="CR71" s="14">
        <f t="shared" si="25"/>
        <v>7.8E-2</v>
      </c>
      <c r="CS71" s="13"/>
      <c r="CT71" s="14"/>
      <c r="CU71" s="41"/>
      <c r="CW71" s="13">
        <v>6</v>
      </c>
      <c r="CX71" s="13">
        <v>15</v>
      </c>
      <c r="CY71" s="13">
        <v>400</v>
      </c>
      <c r="CZ71" s="13">
        <v>2</v>
      </c>
      <c r="DA71" s="14">
        <f t="shared" si="21"/>
        <v>7.1999999999999995E-2</v>
      </c>
      <c r="DB71" s="13"/>
      <c r="DC71" s="14"/>
      <c r="DD71" s="41"/>
      <c r="DF71" s="13">
        <v>2</v>
      </c>
      <c r="DG71" s="13">
        <v>15</v>
      </c>
      <c r="DH71" s="13">
        <v>400</v>
      </c>
      <c r="DI71" s="13">
        <v>1</v>
      </c>
      <c r="DJ71" s="14">
        <f t="shared" si="22"/>
        <v>1.2E-2</v>
      </c>
      <c r="DK71" s="13"/>
      <c r="DL71" s="14"/>
      <c r="DM71" s="41"/>
    </row>
    <row r="72" spans="2:117" ht="15.75" x14ac:dyDescent="0.25">
      <c r="B72" s="13">
        <v>15</v>
      </c>
      <c r="C72" s="13">
        <v>30</v>
      </c>
      <c r="D72" s="13">
        <v>400</v>
      </c>
      <c r="E72" s="13">
        <v>2</v>
      </c>
      <c r="F72" s="20">
        <f t="shared" si="28"/>
        <v>0.36</v>
      </c>
      <c r="G72" s="13"/>
      <c r="H72" s="14"/>
      <c r="I72" s="13"/>
      <c r="K72" s="122">
        <v>3</v>
      </c>
      <c r="L72" s="122">
        <v>5</v>
      </c>
      <c r="M72" s="122">
        <v>400</v>
      </c>
      <c r="N72" s="122">
        <v>210</v>
      </c>
      <c r="O72" s="123">
        <f t="shared" si="29"/>
        <v>1.26</v>
      </c>
      <c r="P72" s="122"/>
      <c r="Q72" s="123"/>
      <c r="R72" s="122"/>
      <c r="T72" s="13">
        <v>10</v>
      </c>
      <c r="U72" s="13">
        <v>18</v>
      </c>
      <c r="V72" s="13">
        <v>400</v>
      </c>
      <c r="W72" s="13">
        <v>2</v>
      </c>
      <c r="X72" s="14">
        <f t="shared" si="24"/>
        <v>0.14399999999999999</v>
      </c>
      <c r="Y72" s="13"/>
      <c r="Z72" s="14"/>
      <c r="AA72" s="13"/>
      <c r="AC72" s="13">
        <v>10</v>
      </c>
      <c r="AD72" s="13">
        <v>30</v>
      </c>
      <c r="AE72" s="13">
        <v>400</v>
      </c>
      <c r="AF72" s="13">
        <v>1</v>
      </c>
      <c r="AG72" s="14">
        <f t="shared" si="26"/>
        <v>0.12</v>
      </c>
      <c r="AH72" s="13"/>
      <c r="AI72" s="14"/>
      <c r="AJ72" s="13"/>
      <c r="AL72" s="28" t="s">
        <v>16</v>
      </c>
      <c r="AM72" s="27" t="s">
        <v>15</v>
      </c>
      <c r="AN72" s="26"/>
      <c r="AO72" s="26"/>
      <c r="AP72" s="26"/>
      <c r="AQ72" s="26"/>
      <c r="AR72" s="26"/>
      <c r="AS72" s="26"/>
      <c r="AU72" s="13">
        <v>3</v>
      </c>
      <c r="AV72" s="13">
        <v>20</v>
      </c>
      <c r="AW72" s="13">
        <v>400</v>
      </c>
      <c r="AX72" s="13">
        <v>1</v>
      </c>
      <c r="AY72" s="14">
        <f t="shared" si="20"/>
        <v>2.4E-2</v>
      </c>
      <c r="AZ72" s="13"/>
      <c r="BA72" s="14"/>
      <c r="BB72" s="13"/>
      <c r="BD72" s="13">
        <v>10</v>
      </c>
      <c r="BE72" s="13">
        <v>10</v>
      </c>
      <c r="BF72" s="13">
        <v>400</v>
      </c>
      <c r="BG72" s="13">
        <v>7</v>
      </c>
      <c r="BH72" s="14">
        <f t="shared" si="23"/>
        <v>0.28000000000000003</v>
      </c>
      <c r="BI72" s="13"/>
      <c r="BJ72" s="14"/>
      <c r="BK72" s="13"/>
      <c r="BM72" s="13">
        <v>4</v>
      </c>
      <c r="BN72" s="13">
        <v>20</v>
      </c>
      <c r="BO72" s="13">
        <v>400</v>
      </c>
      <c r="BP72" s="13">
        <v>1</v>
      </c>
      <c r="BQ72" s="14">
        <f t="shared" si="27"/>
        <v>3.2000000000000001E-2</v>
      </c>
      <c r="BR72" s="13"/>
      <c r="BS72" s="14"/>
      <c r="BT72" s="41"/>
      <c r="BV72" s="13">
        <v>4.5</v>
      </c>
      <c r="BW72" s="13">
        <v>15</v>
      </c>
      <c r="BX72" s="13">
        <v>300</v>
      </c>
      <c r="BY72" s="13">
        <v>2</v>
      </c>
      <c r="BZ72" s="14">
        <f>BV72*BW72*BX72*BY72/1000000</f>
        <v>4.0500000000000001E-2</v>
      </c>
      <c r="CA72" s="13"/>
      <c r="CB72" s="14"/>
      <c r="CC72" s="41"/>
      <c r="CE72" s="13">
        <v>2.2000000000000002</v>
      </c>
      <c r="CF72" s="13">
        <v>13</v>
      </c>
      <c r="CG72" s="13">
        <v>400</v>
      </c>
      <c r="CH72" s="13">
        <v>4</v>
      </c>
      <c r="CI72" s="14">
        <f t="shared" si="9"/>
        <v>4.5760000000000002E-2</v>
      </c>
      <c r="CJ72" s="13"/>
      <c r="CK72" s="14"/>
      <c r="CL72" s="13"/>
      <c r="CN72" s="13">
        <v>10</v>
      </c>
      <c r="CO72" s="13">
        <v>30</v>
      </c>
      <c r="CP72" s="13">
        <v>400</v>
      </c>
      <c r="CQ72" s="13">
        <v>2</v>
      </c>
      <c r="CR72" s="14">
        <f t="shared" si="25"/>
        <v>0.24</v>
      </c>
      <c r="CS72" s="13"/>
      <c r="CT72" s="14"/>
      <c r="CU72" s="41"/>
      <c r="CW72" s="13">
        <v>12</v>
      </c>
      <c r="CX72" s="13">
        <v>15</v>
      </c>
      <c r="CY72" s="13">
        <v>400</v>
      </c>
      <c r="CZ72" s="13">
        <v>1</v>
      </c>
      <c r="DA72" s="14">
        <f t="shared" si="21"/>
        <v>7.1999999999999995E-2</v>
      </c>
      <c r="DB72" s="13"/>
      <c r="DC72" s="14"/>
      <c r="DD72" s="41"/>
      <c r="DF72" s="13">
        <v>4.5</v>
      </c>
      <c r="DG72" s="13">
        <v>15</v>
      </c>
      <c r="DH72" s="13">
        <v>400</v>
      </c>
      <c r="DI72" s="13">
        <v>1</v>
      </c>
      <c r="DJ72" s="14">
        <f t="shared" si="22"/>
        <v>2.7E-2</v>
      </c>
      <c r="DK72" s="13"/>
      <c r="DL72" s="14"/>
      <c r="DM72" s="41"/>
    </row>
    <row r="73" spans="2:117" ht="15.75" x14ac:dyDescent="0.25">
      <c r="B73" s="13">
        <v>15</v>
      </c>
      <c r="C73" s="13">
        <v>25</v>
      </c>
      <c r="D73" s="13">
        <v>400</v>
      </c>
      <c r="E73" s="13">
        <v>4</v>
      </c>
      <c r="F73" s="20">
        <f t="shared" si="28"/>
        <v>0.6</v>
      </c>
      <c r="G73" s="13"/>
      <c r="H73" s="14"/>
      <c r="I73" s="13"/>
      <c r="K73" s="122">
        <v>2</v>
      </c>
      <c r="L73" s="122">
        <v>3</v>
      </c>
      <c r="M73" s="122">
        <v>400</v>
      </c>
      <c r="N73" s="122">
        <v>300</v>
      </c>
      <c r="O73" s="123">
        <f t="shared" si="29"/>
        <v>0.72</v>
      </c>
      <c r="P73" s="122"/>
      <c r="Q73" s="123"/>
      <c r="R73" s="122"/>
      <c r="T73" s="13">
        <v>10</v>
      </c>
      <c r="U73" s="13">
        <v>15</v>
      </c>
      <c r="V73" s="13">
        <v>400</v>
      </c>
      <c r="W73" s="13">
        <v>16</v>
      </c>
      <c r="X73" s="14">
        <f t="shared" si="24"/>
        <v>0.96</v>
      </c>
      <c r="Y73" s="13"/>
      <c r="Z73" s="14"/>
      <c r="AA73" s="13"/>
      <c r="AC73" s="13">
        <v>10</v>
      </c>
      <c r="AD73" s="13">
        <v>28</v>
      </c>
      <c r="AE73" s="13">
        <v>400</v>
      </c>
      <c r="AF73" s="13">
        <v>1</v>
      </c>
      <c r="AG73" s="14">
        <f t="shared" si="26"/>
        <v>0.112</v>
      </c>
      <c r="AH73" s="13"/>
      <c r="AI73" s="14"/>
      <c r="AJ73" s="13"/>
      <c r="AL73" s="60" t="s">
        <v>52</v>
      </c>
      <c r="AM73" s="25"/>
      <c r="AN73" s="25"/>
      <c r="AO73" s="25"/>
      <c r="AP73" s="25"/>
      <c r="AQ73" s="225" t="s">
        <v>55</v>
      </c>
      <c r="AR73" s="225"/>
      <c r="AS73" s="225"/>
      <c r="AU73" s="13">
        <v>10</v>
      </c>
      <c r="AV73" s="13">
        <v>25</v>
      </c>
      <c r="AW73" s="13">
        <v>400</v>
      </c>
      <c r="AX73" s="13">
        <v>13</v>
      </c>
      <c r="AY73" s="14">
        <f t="shared" si="20"/>
        <v>1.3</v>
      </c>
      <c r="AZ73" s="13"/>
      <c r="BA73" s="14"/>
      <c r="BB73" s="13"/>
      <c r="BD73" s="13">
        <v>8</v>
      </c>
      <c r="BE73" s="13">
        <v>10</v>
      </c>
      <c r="BF73" s="13">
        <v>400</v>
      </c>
      <c r="BG73" s="13">
        <v>5</v>
      </c>
      <c r="BH73" s="14">
        <f t="shared" si="23"/>
        <v>0.16</v>
      </c>
      <c r="BI73" s="13"/>
      <c r="BJ73" s="14"/>
      <c r="BK73" s="41"/>
      <c r="BM73" s="13">
        <v>8</v>
      </c>
      <c r="BN73" s="13">
        <v>20</v>
      </c>
      <c r="BO73" s="13">
        <v>400</v>
      </c>
      <c r="BP73" s="13">
        <v>4</v>
      </c>
      <c r="BQ73" s="14">
        <f t="shared" si="27"/>
        <v>0.25600000000000001</v>
      </c>
      <c r="BR73" s="13"/>
      <c r="BS73" s="14"/>
      <c r="BT73" s="13"/>
      <c r="BV73" s="13">
        <v>4.5</v>
      </c>
      <c r="BW73" s="13">
        <v>10</v>
      </c>
      <c r="BX73" s="13">
        <v>300</v>
      </c>
      <c r="BY73" s="13">
        <v>3</v>
      </c>
      <c r="BZ73" s="14">
        <f>BV73*BW73*BX73*BY73/1000000</f>
        <v>4.0500000000000001E-2</v>
      </c>
      <c r="CA73" s="13"/>
      <c r="CB73" s="14"/>
      <c r="CC73" s="13"/>
      <c r="CE73" s="13">
        <v>7</v>
      </c>
      <c r="CF73" s="13">
        <v>13</v>
      </c>
      <c r="CG73" s="13">
        <v>400</v>
      </c>
      <c r="CH73" s="13">
        <v>5</v>
      </c>
      <c r="CI73" s="14">
        <f t="shared" si="9"/>
        <v>0.182</v>
      </c>
      <c r="CJ73" s="13"/>
      <c r="CK73" s="14"/>
      <c r="CL73" s="13"/>
      <c r="CN73" s="13">
        <v>10</v>
      </c>
      <c r="CO73" s="13">
        <v>25</v>
      </c>
      <c r="CP73" s="13">
        <v>400</v>
      </c>
      <c r="CQ73" s="13">
        <v>1</v>
      </c>
      <c r="CR73" s="14">
        <f t="shared" si="25"/>
        <v>0.1</v>
      </c>
      <c r="CS73" s="13"/>
      <c r="CT73" s="14"/>
      <c r="CU73" s="41"/>
      <c r="CW73" s="13">
        <v>6</v>
      </c>
      <c r="CX73" s="13">
        <v>15</v>
      </c>
      <c r="CY73" s="13">
        <v>400</v>
      </c>
      <c r="CZ73" s="13">
        <v>3</v>
      </c>
      <c r="DA73" s="14">
        <f t="shared" si="21"/>
        <v>0.108</v>
      </c>
      <c r="DB73" s="13"/>
      <c r="DC73" s="14"/>
      <c r="DD73" s="41"/>
      <c r="DF73" s="13">
        <v>6</v>
      </c>
      <c r="DG73" s="13">
        <v>15</v>
      </c>
      <c r="DH73" s="13">
        <v>400</v>
      </c>
      <c r="DI73" s="13">
        <v>5</v>
      </c>
      <c r="DJ73" s="14">
        <f t="shared" si="22"/>
        <v>0.18</v>
      </c>
      <c r="DK73" s="13"/>
      <c r="DL73" s="14"/>
      <c r="DM73" s="41"/>
    </row>
    <row r="74" spans="2:117" ht="15.75" x14ac:dyDescent="0.25">
      <c r="B74" s="13">
        <v>15</v>
      </c>
      <c r="C74" s="13">
        <v>20</v>
      </c>
      <c r="D74" s="13">
        <v>400</v>
      </c>
      <c r="E74" s="13">
        <v>5</v>
      </c>
      <c r="F74" s="20">
        <f t="shared" si="28"/>
        <v>0.6</v>
      </c>
      <c r="G74" s="13"/>
      <c r="H74" s="14"/>
      <c r="I74" s="13"/>
      <c r="K74" s="13">
        <v>3.5</v>
      </c>
      <c r="L74" s="13">
        <v>10</v>
      </c>
      <c r="M74" s="13">
        <v>400</v>
      </c>
      <c r="N74" s="13">
        <v>17</v>
      </c>
      <c r="O74" s="14">
        <f t="shared" si="29"/>
        <v>0.23799999999999999</v>
      </c>
      <c r="P74" s="13"/>
      <c r="Q74" s="14"/>
      <c r="R74" s="13"/>
      <c r="T74" s="13">
        <v>10</v>
      </c>
      <c r="U74" s="13">
        <v>13</v>
      </c>
      <c r="V74" s="13">
        <v>400</v>
      </c>
      <c r="W74" s="13">
        <v>5</v>
      </c>
      <c r="X74" s="14">
        <f t="shared" si="24"/>
        <v>0.26</v>
      </c>
      <c r="Y74" s="13"/>
      <c r="Z74" s="14"/>
      <c r="AA74" s="13"/>
      <c r="AC74" s="13">
        <v>10</v>
      </c>
      <c r="AD74" s="13">
        <v>25</v>
      </c>
      <c r="AE74" s="13">
        <v>400</v>
      </c>
      <c r="AF74" s="13">
        <v>9</v>
      </c>
      <c r="AG74" s="14">
        <f t="shared" si="26"/>
        <v>0.9</v>
      </c>
      <c r="AH74" s="13"/>
      <c r="AI74" s="14"/>
      <c r="AJ74" s="13"/>
      <c r="AL74" s="226" t="s">
        <v>13</v>
      </c>
      <c r="AM74" s="227"/>
      <c r="AN74" s="228"/>
      <c r="AO74" s="227" t="s">
        <v>12</v>
      </c>
      <c r="AP74" s="228"/>
      <c r="AQ74" s="227" t="s">
        <v>12</v>
      </c>
      <c r="AR74" s="228"/>
      <c r="AS74" s="229" t="s">
        <v>11</v>
      </c>
      <c r="AU74" s="13">
        <v>4</v>
      </c>
      <c r="AV74" s="13">
        <v>25</v>
      </c>
      <c r="AW74" s="13">
        <v>400</v>
      </c>
      <c r="AX74" s="13">
        <v>1</v>
      </c>
      <c r="AY74" s="14">
        <f t="shared" si="20"/>
        <v>0.04</v>
      </c>
      <c r="AZ74" s="13"/>
      <c r="BA74" s="14"/>
      <c r="BB74" s="13"/>
      <c r="BD74" s="13">
        <v>3.5</v>
      </c>
      <c r="BE74" s="13">
        <v>10</v>
      </c>
      <c r="BF74" s="13">
        <v>300</v>
      </c>
      <c r="BG74" s="13">
        <v>4</v>
      </c>
      <c r="BH74" s="14">
        <f t="shared" ref="BH74:BH79" si="30">BD74*BE74*BF74*BG74/1000000</f>
        <v>4.2000000000000003E-2</v>
      </c>
      <c r="BI74" s="13"/>
      <c r="BJ74" s="14"/>
      <c r="BK74" s="13"/>
      <c r="BM74" s="13">
        <v>7</v>
      </c>
      <c r="BN74" s="13">
        <v>20</v>
      </c>
      <c r="BO74" s="13">
        <v>400</v>
      </c>
      <c r="BP74" s="13">
        <v>2</v>
      </c>
      <c r="BQ74" s="14">
        <f t="shared" si="27"/>
        <v>0.112</v>
      </c>
      <c r="BR74" s="13"/>
      <c r="BS74" s="14"/>
      <c r="BT74" s="13"/>
      <c r="BV74" s="13">
        <v>2.2000000000000002</v>
      </c>
      <c r="BW74" s="13">
        <v>10</v>
      </c>
      <c r="BX74" s="13">
        <v>300</v>
      </c>
      <c r="BY74" s="13">
        <v>3</v>
      </c>
      <c r="BZ74" s="14">
        <f>BV74*BW74*BX74*BY74/1000000</f>
        <v>1.9800000000000002E-2</v>
      </c>
      <c r="CA74" s="13"/>
      <c r="CB74" s="14"/>
      <c r="CC74" s="13"/>
      <c r="CE74" s="13">
        <v>3.5</v>
      </c>
      <c r="CF74" s="13">
        <v>13</v>
      </c>
      <c r="CG74" s="13">
        <v>400</v>
      </c>
      <c r="CH74" s="13">
        <v>2</v>
      </c>
      <c r="CI74" s="14">
        <f t="shared" si="9"/>
        <v>3.6400000000000002E-2</v>
      </c>
      <c r="CJ74" s="13"/>
      <c r="CK74" s="14"/>
      <c r="CL74" s="13"/>
      <c r="CN74" s="13">
        <v>10</v>
      </c>
      <c r="CO74" s="13">
        <v>20</v>
      </c>
      <c r="CP74" s="13">
        <v>400</v>
      </c>
      <c r="CQ74" s="13">
        <v>4</v>
      </c>
      <c r="CR74" s="14">
        <f t="shared" si="25"/>
        <v>0.32</v>
      </c>
      <c r="CS74" s="13"/>
      <c r="CT74" s="14"/>
      <c r="CU74" s="41"/>
      <c r="CW74" s="13">
        <v>3</v>
      </c>
      <c r="CX74" s="13">
        <v>15</v>
      </c>
      <c r="CY74" s="13">
        <v>400</v>
      </c>
      <c r="CZ74" s="13">
        <v>9</v>
      </c>
      <c r="DA74" s="14">
        <f t="shared" si="21"/>
        <v>0.16200000000000001</v>
      </c>
      <c r="DB74" s="13"/>
      <c r="DC74" s="14"/>
      <c r="DD74" s="41"/>
      <c r="DF74" s="13">
        <v>2</v>
      </c>
      <c r="DG74" s="13">
        <v>10</v>
      </c>
      <c r="DH74" s="13">
        <v>400</v>
      </c>
      <c r="DI74" s="13">
        <v>11</v>
      </c>
      <c r="DJ74" s="14">
        <f t="shared" si="22"/>
        <v>8.7999999999999995E-2</v>
      </c>
      <c r="DK74" s="13"/>
      <c r="DL74" s="14"/>
      <c r="DM74" s="41"/>
    </row>
    <row r="75" spans="2:117" ht="15.75" x14ac:dyDescent="0.25">
      <c r="B75" s="13">
        <v>15</v>
      </c>
      <c r="C75" s="13">
        <v>18</v>
      </c>
      <c r="D75" s="13">
        <v>400</v>
      </c>
      <c r="E75" s="13">
        <v>2</v>
      </c>
      <c r="F75" s="20">
        <f t="shared" si="28"/>
        <v>0.216</v>
      </c>
      <c r="G75" s="13"/>
      <c r="H75" s="14"/>
      <c r="I75" s="13"/>
      <c r="K75" s="13">
        <v>1.7</v>
      </c>
      <c r="L75" s="13">
        <v>13</v>
      </c>
      <c r="M75" s="13">
        <v>400</v>
      </c>
      <c r="N75" s="13">
        <v>6</v>
      </c>
      <c r="O75" s="14">
        <f t="shared" si="29"/>
        <v>5.3039999999999997E-2</v>
      </c>
      <c r="P75" s="13">
        <f>SUM(N71:N75)</f>
        <v>545</v>
      </c>
      <c r="Q75" s="14">
        <f>SUM(O71:O75)</f>
        <v>2.3862400000000004</v>
      </c>
      <c r="R75" s="13"/>
      <c r="T75" s="13">
        <v>10</v>
      </c>
      <c r="U75" s="13">
        <v>10</v>
      </c>
      <c r="V75" s="13">
        <v>400</v>
      </c>
      <c r="W75" s="13">
        <v>2</v>
      </c>
      <c r="X75" s="14">
        <f t="shared" si="24"/>
        <v>0.08</v>
      </c>
      <c r="Y75" s="13">
        <f>SUM(W69:W75)</f>
        <v>41</v>
      </c>
      <c r="Z75" s="14">
        <f>SUM(X69:X75)</f>
        <v>2.8239999999999998</v>
      </c>
      <c r="AA75" s="13"/>
      <c r="AC75" s="13">
        <v>10</v>
      </c>
      <c r="AD75" s="13">
        <v>20</v>
      </c>
      <c r="AE75" s="13">
        <v>400</v>
      </c>
      <c r="AF75" s="13">
        <v>12</v>
      </c>
      <c r="AG75" s="14">
        <f t="shared" si="26"/>
        <v>0.96</v>
      </c>
      <c r="AH75" s="13"/>
      <c r="AI75" s="14"/>
      <c r="AJ75" s="13"/>
      <c r="AL75" s="24" t="s">
        <v>10</v>
      </c>
      <c r="AM75" s="23" t="s">
        <v>9</v>
      </c>
      <c r="AN75" s="23" t="s">
        <v>8</v>
      </c>
      <c r="AO75" s="22" t="s">
        <v>7</v>
      </c>
      <c r="AP75" s="21" t="s">
        <v>6</v>
      </c>
      <c r="AQ75" s="22" t="s">
        <v>7</v>
      </c>
      <c r="AR75" s="21" t="s">
        <v>6</v>
      </c>
      <c r="AS75" s="230"/>
      <c r="AU75" s="13">
        <v>8</v>
      </c>
      <c r="AV75" s="13">
        <v>25</v>
      </c>
      <c r="AW75" s="13">
        <v>400</v>
      </c>
      <c r="AX75" s="13">
        <v>5</v>
      </c>
      <c r="AY75" s="14">
        <f t="shared" si="20"/>
        <v>0.4</v>
      </c>
      <c r="AZ75" s="13"/>
      <c r="BA75" s="14"/>
      <c r="BB75" s="13"/>
      <c r="BD75" s="13">
        <v>3.5</v>
      </c>
      <c r="BE75" s="13">
        <v>13</v>
      </c>
      <c r="BF75" s="13">
        <v>300</v>
      </c>
      <c r="BG75" s="13">
        <v>1</v>
      </c>
      <c r="BH75" s="14">
        <f t="shared" si="30"/>
        <v>1.3650000000000001E-2</v>
      </c>
      <c r="BI75" s="13"/>
      <c r="BJ75" s="14"/>
      <c r="BK75" s="13"/>
      <c r="BM75" s="13">
        <v>4</v>
      </c>
      <c r="BN75" s="13">
        <v>15</v>
      </c>
      <c r="BO75" s="13">
        <v>400</v>
      </c>
      <c r="BP75" s="13">
        <v>2</v>
      </c>
      <c r="BQ75" s="14">
        <f t="shared" si="27"/>
        <v>4.8000000000000001E-2</v>
      </c>
      <c r="BR75" s="13"/>
      <c r="BS75" s="14"/>
      <c r="BT75" s="13"/>
      <c r="BV75" s="13">
        <v>7</v>
      </c>
      <c r="BW75" s="13">
        <v>13</v>
      </c>
      <c r="BX75" s="13">
        <v>300</v>
      </c>
      <c r="BY75" s="13">
        <v>1</v>
      </c>
      <c r="BZ75" s="14">
        <f>BV75*BW75*BX75*BY75/1000000</f>
        <v>2.7300000000000001E-2</v>
      </c>
      <c r="CA75" s="37">
        <f>SUM(BY24:BY75)</f>
        <v>251</v>
      </c>
      <c r="CB75" s="107">
        <f>SUM(BZ24:BZ75)</f>
        <v>10.916000000000002</v>
      </c>
      <c r="CC75" s="41" t="s">
        <v>23</v>
      </c>
      <c r="CE75" s="13">
        <v>2.2000000000000002</v>
      </c>
      <c r="CF75" s="13">
        <v>10</v>
      </c>
      <c r="CG75" s="13">
        <v>400</v>
      </c>
      <c r="CH75" s="13">
        <v>2</v>
      </c>
      <c r="CI75" s="14">
        <f t="shared" si="9"/>
        <v>1.7600000000000001E-2</v>
      </c>
      <c r="CJ75" s="13"/>
      <c r="CK75" s="14"/>
      <c r="CL75" s="13"/>
      <c r="CN75" s="13">
        <v>10</v>
      </c>
      <c r="CO75" s="13">
        <v>15</v>
      </c>
      <c r="CP75" s="13">
        <v>400</v>
      </c>
      <c r="CQ75" s="13">
        <v>9</v>
      </c>
      <c r="CR75" s="14">
        <f t="shared" si="25"/>
        <v>0.54</v>
      </c>
      <c r="CS75" s="13"/>
      <c r="CT75" s="14"/>
      <c r="CU75" s="41"/>
      <c r="CW75" s="13">
        <v>2</v>
      </c>
      <c r="CX75" s="13">
        <v>15</v>
      </c>
      <c r="CY75" s="13">
        <v>400</v>
      </c>
      <c r="CZ75" s="13">
        <v>7</v>
      </c>
      <c r="DA75" s="14">
        <f t="shared" si="21"/>
        <v>8.4000000000000005E-2</v>
      </c>
      <c r="DB75" s="13"/>
      <c r="DC75" s="14"/>
      <c r="DD75" s="41"/>
      <c r="DF75" s="13">
        <v>4.5</v>
      </c>
      <c r="DG75" s="13">
        <v>10</v>
      </c>
      <c r="DH75" s="13">
        <v>400</v>
      </c>
      <c r="DI75" s="13">
        <v>13</v>
      </c>
      <c r="DJ75" s="14">
        <f t="shared" si="22"/>
        <v>0.23400000000000001</v>
      </c>
      <c r="DK75" s="13"/>
      <c r="DL75" s="14"/>
      <c r="DM75" s="41"/>
    </row>
    <row r="76" spans="2:117" ht="16.5" thickBot="1" x14ac:dyDescent="0.3">
      <c r="B76" s="13">
        <v>15</v>
      </c>
      <c r="C76" s="13">
        <v>15</v>
      </c>
      <c r="D76" s="13">
        <v>400</v>
      </c>
      <c r="E76" s="13">
        <v>2</v>
      </c>
      <c r="F76" s="20">
        <f t="shared" si="28"/>
        <v>0.18</v>
      </c>
      <c r="G76" s="13">
        <f>SUM(E71:E76)</f>
        <v>16</v>
      </c>
      <c r="H76" s="14">
        <f>SUM(F71:F76)</f>
        <v>2.1539999999999999</v>
      </c>
      <c r="I76" s="13"/>
      <c r="K76" s="13">
        <v>1.7</v>
      </c>
      <c r="L76" s="13">
        <v>15</v>
      </c>
      <c r="M76" s="13">
        <v>400</v>
      </c>
      <c r="N76" s="13">
        <v>4</v>
      </c>
      <c r="O76" s="14">
        <f t="shared" si="29"/>
        <v>4.0800000000000003E-2</v>
      </c>
      <c r="P76" s="13"/>
      <c r="Q76" s="14"/>
      <c r="R76" s="13"/>
      <c r="T76" s="13">
        <v>8</v>
      </c>
      <c r="U76" s="13">
        <v>30</v>
      </c>
      <c r="V76" s="13">
        <v>400</v>
      </c>
      <c r="W76" s="13">
        <v>2</v>
      </c>
      <c r="X76" s="14">
        <f t="shared" si="24"/>
        <v>0.192</v>
      </c>
      <c r="Y76" s="13"/>
      <c r="Z76" s="14"/>
      <c r="AA76" s="13"/>
      <c r="AC76" s="13">
        <v>10</v>
      </c>
      <c r="AD76" s="13">
        <v>18</v>
      </c>
      <c r="AE76" s="13">
        <v>400</v>
      </c>
      <c r="AF76" s="13">
        <v>5</v>
      </c>
      <c r="AG76" s="14">
        <f t="shared" si="26"/>
        <v>0.36</v>
      </c>
      <c r="AH76" s="13"/>
      <c r="AI76" s="14"/>
      <c r="AJ76" s="13"/>
      <c r="AL76" s="13">
        <v>15</v>
      </c>
      <c r="AM76" s="13">
        <v>25</v>
      </c>
      <c r="AN76" s="13">
        <v>400</v>
      </c>
      <c r="AO76" s="13">
        <v>4</v>
      </c>
      <c r="AP76" s="14">
        <f t="shared" ref="AP76:AP94" si="31">AL76*AM76*AN76*AO76/1000000</f>
        <v>0.6</v>
      </c>
      <c r="AQ76" s="13"/>
      <c r="AR76" s="14"/>
      <c r="AS76" s="13"/>
      <c r="AU76" s="13">
        <v>13</v>
      </c>
      <c r="AV76" s="13">
        <v>25</v>
      </c>
      <c r="AW76" s="13">
        <v>400</v>
      </c>
      <c r="AX76" s="13">
        <v>1</v>
      </c>
      <c r="AY76" s="14">
        <f t="shared" si="20"/>
        <v>0.13</v>
      </c>
      <c r="AZ76" s="13"/>
      <c r="BA76" s="14"/>
      <c r="BB76" s="13"/>
      <c r="BD76" s="13">
        <v>2.2000000000000002</v>
      </c>
      <c r="BE76" s="13">
        <v>10</v>
      </c>
      <c r="BF76" s="13">
        <v>300</v>
      </c>
      <c r="BG76" s="13">
        <v>120</v>
      </c>
      <c r="BH76" s="14">
        <f t="shared" si="30"/>
        <v>0.79200000000000004</v>
      </c>
      <c r="BI76" s="13"/>
      <c r="BJ76" s="14"/>
      <c r="BK76" s="13"/>
      <c r="BM76" s="13">
        <v>6</v>
      </c>
      <c r="BN76" s="13">
        <v>15</v>
      </c>
      <c r="BO76" s="13">
        <v>400</v>
      </c>
      <c r="BP76" s="13">
        <v>14</v>
      </c>
      <c r="BQ76" s="14">
        <f t="shared" si="27"/>
        <v>0.504</v>
      </c>
      <c r="BR76" s="13"/>
      <c r="BS76" s="14"/>
      <c r="BT76" s="41"/>
      <c r="BV76" s="115"/>
      <c r="BW76" s="115"/>
      <c r="BX76" s="115"/>
      <c r="BY76" s="17">
        <f>SUM(BY8:BY75)</f>
        <v>288</v>
      </c>
      <c r="BZ76" s="48">
        <f>SUM(BZ8:BZ75)</f>
        <v>11.924600000000003</v>
      </c>
      <c r="CA76" s="17">
        <f>SUM(CA8:CA75)</f>
        <v>288</v>
      </c>
      <c r="CB76" s="48">
        <f>SUM(CB8:CB75)</f>
        <v>11.924600000000002</v>
      </c>
      <c r="CC76" s="146"/>
      <c r="CE76" s="122">
        <v>5</v>
      </c>
      <c r="CF76" s="122">
        <v>7</v>
      </c>
      <c r="CG76" s="122">
        <v>400</v>
      </c>
      <c r="CH76" s="122">
        <v>96</v>
      </c>
      <c r="CI76" s="123">
        <f t="shared" si="9"/>
        <v>1.3440000000000001</v>
      </c>
      <c r="CJ76" s="133">
        <f>SUM(CH39:CH76)</f>
        <v>234</v>
      </c>
      <c r="CK76" s="134">
        <f>SUM(CI39:CI76)</f>
        <v>10.637560000000001</v>
      </c>
      <c r="CL76" s="126" t="s">
        <v>23</v>
      </c>
      <c r="CN76" s="13">
        <v>10</v>
      </c>
      <c r="CO76" s="13">
        <v>10</v>
      </c>
      <c r="CP76" s="13">
        <v>400</v>
      </c>
      <c r="CQ76" s="13">
        <v>9</v>
      </c>
      <c r="CR76" s="14">
        <f t="shared" si="25"/>
        <v>0.36</v>
      </c>
      <c r="CS76" s="13"/>
      <c r="CT76" s="14"/>
      <c r="CU76" s="41"/>
      <c r="CW76" s="61">
        <v>4.5</v>
      </c>
      <c r="CX76" s="61">
        <v>10</v>
      </c>
      <c r="CY76" s="13">
        <v>400</v>
      </c>
      <c r="CZ76" s="61">
        <v>16</v>
      </c>
      <c r="DA76" s="63">
        <f t="shared" si="21"/>
        <v>0.28799999999999998</v>
      </c>
      <c r="DB76" s="61">
        <f>SUM(CZ58:CZ76)</f>
        <v>190</v>
      </c>
      <c r="DC76" s="193">
        <f>SUM(DA58:DA76)</f>
        <v>6.7769999999999992</v>
      </c>
      <c r="DD76" s="70" t="s">
        <v>21</v>
      </c>
      <c r="DF76" s="13">
        <v>5.5</v>
      </c>
      <c r="DG76" s="13">
        <v>10</v>
      </c>
      <c r="DH76" s="13">
        <v>400</v>
      </c>
      <c r="DI76" s="13">
        <v>30</v>
      </c>
      <c r="DJ76" s="14">
        <f t="shared" si="22"/>
        <v>0.66</v>
      </c>
      <c r="DK76" s="37">
        <f>SUM(DI58:DI76)</f>
        <v>91</v>
      </c>
      <c r="DL76" s="36">
        <f>SUM(DJ58:DJ76)</f>
        <v>2.8666000000000005</v>
      </c>
      <c r="DM76" s="41" t="s">
        <v>21</v>
      </c>
    </row>
    <row r="77" spans="2:117" ht="17.25" thickTop="1" thickBot="1" x14ac:dyDescent="0.3">
      <c r="B77" s="13">
        <v>12</v>
      </c>
      <c r="C77" s="13">
        <v>25</v>
      </c>
      <c r="D77" s="13">
        <v>400</v>
      </c>
      <c r="E77" s="13">
        <v>2</v>
      </c>
      <c r="F77" s="20">
        <f t="shared" si="28"/>
        <v>0.24</v>
      </c>
      <c r="G77" s="13"/>
      <c r="H77" s="14"/>
      <c r="I77" s="13"/>
      <c r="K77" s="13">
        <v>15</v>
      </c>
      <c r="L77" s="13">
        <v>33</v>
      </c>
      <c r="M77" s="13">
        <v>400</v>
      </c>
      <c r="N77" s="13">
        <v>4</v>
      </c>
      <c r="O77" s="14">
        <f t="shared" si="29"/>
        <v>0.79200000000000004</v>
      </c>
      <c r="P77" s="13"/>
      <c r="Q77" s="14"/>
      <c r="R77" s="13"/>
      <c r="T77" s="13">
        <v>8</v>
      </c>
      <c r="U77" s="13">
        <v>25</v>
      </c>
      <c r="V77" s="13">
        <v>400</v>
      </c>
      <c r="W77" s="13">
        <v>1</v>
      </c>
      <c r="X77" s="14">
        <f t="shared" si="24"/>
        <v>0.08</v>
      </c>
      <c r="Y77" s="13"/>
      <c r="Z77" s="14"/>
      <c r="AA77" s="13"/>
      <c r="AC77" s="13">
        <v>10</v>
      </c>
      <c r="AD77" s="13">
        <v>15</v>
      </c>
      <c r="AE77" s="13">
        <v>400</v>
      </c>
      <c r="AF77" s="13">
        <v>8</v>
      </c>
      <c r="AG77" s="14">
        <f t="shared" si="26"/>
        <v>0.48</v>
      </c>
      <c r="AH77" s="13"/>
      <c r="AI77" s="14"/>
      <c r="AJ77" s="13"/>
      <c r="AL77" s="13">
        <v>15</v>
      </c>
      <c r="AM77" s="13">
        <v>23</v>
      </c>
      <c r="AN77" s="13">
        <v>400</v>
      </c>
      <c r="AO77" s="13">
        <v>2</v>
      </c>
      <c r="AP77" s="14">
        <f t="shared" si="31"/>
        <v>0.27600000000000002</v>
      </c>
      <c r="AQ77" s="13"/>
      <c r="AR77" s="14"/>
      <c r="AS77" s="13"/>
      <c r="AU77" s="13">
        <v>10</v>
      </c>
      <c r="AV77" s="13">
        <v>30</v>
      </c>
      <c r="AW77" s="13">
        <v>400</v>
      </c>
      <c r="AX77" s="13">
        <v>4</v>
      </c>
      <c r="AY77" s="14">
        <f t="shared" si="20"/>
        <v>0.48</v>
      </c>
      <c r="AZ77" s="13"/>
      <c r="BA77" s="14"/>
      <c r="BB77" s="13"/>
      <c r="BD77" s="13">
        <v>2.2000000000000002</v>
      </c>
      <c r="BE77" s="13">
        <v>25</v>
      </c>
      <c r="BF77" s="13">
        <v>300</v>
      </c>
      <c r="BG77" s="13">
        <v>1</v>
      </c>
      <c r="BH77" s="14">
        <f t="shared" si="30"/>
        <v>1.6500000000000004E-2</v>
      </c>
      <c r="BI77" s="13"/>
      <c r="BJ77" s="14"/>
      <c r="BK77" s="13"/>
      <c r="BM77" s="13">
        <v>3</v>
      </c>
      <c r="BN77" s="13">
        <v>15</v>
      </c>
      <c r="BO77" s="13">
        <v>400</v>
      </c>
      <c r="BP77" s="13">
        <v>4</v>
      </c>
      <c r="BQ77" s="14">
        <f t="shared" si="27"/>
        <v>7.1999999999999995E-2</v>
      </c>
      <c r="BR77" s="13"/>
      <c r="BS77" s="14"/>
      <c r="BT77" s="13"/>
      <c r="BV77" s="115"/>
      <c r="BW77" s="115"/>
      <c r="BX77" s="115"/>
      <c r="BY77" s="115"/>
      <c r="BZ77" s="96"/>
      <c r="CA77" s="143"/>
      <c r="CB77" s="144"/>
      <c r="CC77" s="145"/>
      <c r="CE77" s="115"/>
      <c r="CF77" s="115"/>
      <c r="CG77" s="115"/>
      <c r="CH77" s="17">
        <f>SUM(CH8:CH76)</f>
        <v>307</v>
      </c>
      <c r="CI77" s="48">
        <f>SUM(CI8:CI76)</f>
        <v>13.685560000000002</v>
      </c>
      <c r="CJ77" s="17">
        <f>SUM(CJ8:CJ76)</f>
        <v>307</v>
      </c>
      <c r="CK77" s="48">
        <f>SUM(CK8:CK76)</f>
        <v>13.685560000000001</v>
      </c>
      <c r="CL77" s="146"/>
      <c r="CN77" s="13">
        <v>8</v>
      </c>
      <c r="CO77" s="13">
        <v>20</v>
      </c>
      <c r="CP77" s="13">
        <v>400</v>
      </c>
      <c r="CQ77" s="13">
        <v>1</v>
      </c>
      <c r="CR77" s="14">
        <f t="shared" si="25"/>
        <v>6.4000000000000001E-2</v>
      </c>
      <c r="CS77" s="13"/>
      <c r="CT77" s="14"/>
      <c r="CU77" s="41"/>
      <c r="CW77" s="13">
        <v>15</v>
      </c>
      <c r="CX77" s="13">
        <v>20</v>
      </c>
      <c r="CY77" s="13">
        <v>400</v>
      </c>
      <c r="CZ77" s="13">
        <v>1</v>
      </c>
      <c r="DA77" s="14">
        <f t="shared" ref="DA77:DA94" si="32">CW77*CX77*CY77*CZ77/1000000</f>
        <v>0.12</v>
      </c>
      <c r="DB77" s="13"/>
      <c r="DC77" s="14"/>
      <c r="DD77" s="13"/>
      <c r="DF77" s="13">
        <v>4.5</v>
      </c>
      <c r="DG77" s="13">
        <v>23</v>
      </c>
      <c r="DH77" s="13">
        <v>400</v>
      </c>
      <c r="DI77" s="13">
        <v>1</v>
      </c>
      <c r="DJ77" s="14">
        <f t="shared" si="22"/>
        <v>4.1399999999999999E-2</v>
      </c>
      <c r="DK77" s="13"/>
      <c r="DL77" s="14"/>
      <c r="DM77" s="41"/>
    </row>
    <row r="78" spans="2:117" ht="16.5" thickTop="1" x14ac:dyDescent="0.25">
      <c r="B78" s="13">
        <v>12</v>
      </c>
      <c r="C78" s="13">
        <v>15</v>
      </c>
      <c r="D78" s="13">
        <v>400</v>
      </c>
      <c r="E78" s="13">
        <v>1</v>
      </c>
      <c r="F78" s="20">
        <f t="shared" si="28"/>
        <v>7.1999999999999995E-2</v>
      </c>
      <c r="G78" s="13">
        <f>SUM(E77:E78)</f>
        <v>3</v>
      </c>
      <c r="H78" s="14">
        <f>SUM(F77:F78)</f>
        <v>0.312</v>
      </c>
      <c r="I78" s="13"/>
      <c r="K78" s="13">
        <v>15</v>
      </c>
      <c r="L78" s="13">
        <v>30</v>
      </c>
      <c r="M78" s="13">
        <v>400</v>
      </c>
      <c r="N78" s="13">
        <v>5</v>
      </c>
      <c r="O78" s="14">
        <f t="shared" si="29"/>
        <v>0.9</v>
      </c>
      <c r="P78" s="13"/>
      <c r="Q78" s="14"/>
      <c r="R78" s="13"/>
      <c r="T78" s="13">
        <v>8</v>
      </c>
      <c r="U78" s="13">
        <v>20</v>
      </c>
      <c r="V78" s="13">
        <v>400</v>
      </c>
      <c r="W78" s="13">
        <v>1</v>
      </c>
      <c r="X78" s="14">
        <f t="shared" si="24"/>
        <v>6.4000000000000001E-2</v>
      </c>
      <c r="Y78" s="13"/>
      <c r="Z78" s="14"/>
      <c r="AA78" s="13"/>
      <c r="AC78" s="13">
        <v>10</v>
      </c>
      <c r="AD78" s="13">
        <v>13</v>
      </c>
      <c r="AE78" s="13">
        <v>400</v>
      </c>
      <c r="AF78" s="13">
        <v>3</v>
      </c>
      <c r="AG78" s="14">
        <f t="shared" si="26"/>
        <v>0.156</v>
      </c>
      <c r="AH78" s="13"/>
      <c r="AI78" s="14"/>
      <c r="AJ78" s="13"/>
      <c r="AL78" s="13">
        <v>15</v>
      </c>
      <c r="AM78" s="13">
        <v>20</v>
      </c>
      <c r="AN78" s="13">
        <v>400</v>
      </c>
      <c r="AO78" s="13">
        <v>2</v>
      </c>
      <c r="AP78" s="14">
        <f t="shared" si="31"/>
        <v>0.24</v>
      </c>
      <c r="AQ78" s="13">
        <f>SUM(AO76:AO78)</f>
        <v>8</v>
      </c>
      <c r="AR78" s="14">
        <f>SUM(AP76:AP78)</f>
        <v>1.1160000000000001</v>
      </c>
      <c r="AS78" s="13"/>
      <c r="AU78" s="13">
        <v>15</v>
      </c>
      <c r="AV78" s="13">
        <v>25</v>
      </c>
      <c r="AW78" s="13">
        <v>400</v>
      </c>
      <c r="AX78" s="13">
        <v>1</v>
      </c>
      <c r="AY78" s="14">
        <f t="shared" si="20"/>
        <v>0.15</v>
      </c>
      <c r="AZ78" s="13"/>
      <c r="BA78" s="14"/>
      <c r="BB78" s="13"/>
      <c r="BD78" s="13">
        <v>4.5</v>
      </c>
      <c r="BE78" s="13">
        <v>10</v>
      </c>
      <c r="BF78" s="13">
        <v>300</v>
      </c>
      <c r="BG78" s="13">
        <v>7</v>
      </c>
      <c r="BH78" s="14">
        <f t="shared" si="30"/>
        <v>9.4500000000000001E-2</v>
      </c>
      <c r="BI78" s="13"/>
      <c r="BJ78" s="14"/>
      <c r="BK78" s="13"/>
      <c r="BM78" s="13">
        <v>10</v>
      </c>
      <c r="BN78" s="13">
        <v>15</v>
      </c>
      <c r="BO78" s="13">
        <v>400</v>
      </c>
      <c r="BP78" s="13">
        <v>2</v>
      </c>
      <c r="BQ78" s="14">
        <f t="shared" si="27"/>
        <v>0.12</v>
      </c>
      <c r="BR78" s="13"/>
      <c r="BS78" s="14"/>
      <c r="BT78" s="41"/>
      <c r="BV78" s="231" t="s">
        <v>19</v>
      </c>
      <c r="BW78" s="231"/>
      <c r="BX78" s="231"/>
      <c r="BY78" s="231"/>
      <c r="BZ78" s="231"/>
      <c r="CA78" s="231"/>
      <c r="CB78" s="231"/>
      <c r="CC78" s="231"/>
      <c r="CN78" s="13">
        <v>8</v>
      </c>
      <c r="CO78" s="13">
        <v>15</v>
      </c>
      <c r="CP78" s="13">
        <v>400</v>
      </c>
      <c r="CQ78" s="13">
        <v>1</v>
      </c>
      <c r="CR78" s="14">
        <f t="shared" si="25"/>
        <v>4.8000000000000001E-2</v>
      </c>
      <c r="CS78" s="13"/>
      <c r="CT78" s="14"/>
      <c r="CU78" s="41"/>
      <c r="CW78" s="13">
        <v>13</v>
      </c>
      <c r="CX78" s="13">
        <v>20</v>
      </c>
      <c r="CY78" s="13">
        <v>400</v>
      </c>
      <c r="CZ78" s="13">
        <v>1</v>
      </c>
      <c r="DA78" s="14">
        <f t="shared" si="32"/>
        <v>0.104</v>
      </c>
      <c r="DB78" s="13"/>
      <c r="DC78" s="14"/>
      <c r="DD78" s="13"/>
      <c r="DF78" s="13">
        <v>8</v>
      </c>
      <c r="DG78" s="13">
        <v>23</v>
      </c>
      <c r="DH78" s="13">
        <v>400</v>
      </c>
      <c r="DI78" s="13">
        <v>2</v>
      </c>
      <c r="DJ78" s="14">
        <f t="shared" si="22"/>
        <v>0.1472</v>
      </c>
      <c r="DK78" s="13"/>
      <c r="DL78" s="14"/>
      <c r="DM78" s="41"/>
    </row>
    <row r="79" spans="2:117" ht="15.75" x14ac:dyDescent="0.25">
      <c r="B79" s="13">
        <v>10</v>
      </c>
      <c r="C79" s="13">
        <v>30</v>
      </c>
      <c r="D79" s="13">
        <v>400</v>
      </c>
      <c r="E79" s="13">
        <v>7</v>
      </c>
      <c r="F79" s="20">
        <f t="shared" si="28"/>
        <v>0.84</v>
      </c>
      <c r="G79" s="13"/>
      <c r="H79" s="14"/>
      <c r="I79" s="13"/>
      <c r="K79" s="13">
        <v>13</v>
      </c>
      <c r="L79" s="13">
        <v>30</v>
      </c>
      <c r="M79" s="13">
        <v>400</v>
      </c>
      <c r="N79" s="13">
        <v>2</v>
      </c>
      <c r="O79" s="14">
        <f t="shared" si="29"/>
        <v>0.312</v>
      </c>
      <c r="P79" s="13">
        <f>SUM(N76:N79)</f>
        <v>15</v>
      </c>
      <c r="Q79" s="14">
        <f>SUM(O76:O79)</f>
        <v>2.0448</v>
      </c>
      <c r="R79" s="13"/>
      <c r="T79" s="13">
        <v>8</v>
      </c>
      <c r="U79" s="13">
        <v>18</v>
      </c>
      <c r="V79" s="13">
        <v>400</v>
      </c>
      <c r="W79" s="13">
        <v>4</v>
      </c>
      <c r="X79" s="14">
        <f t="shared" si="24"/>
        <v>0.23039999999999999</v>
      </c>
      <c r="Y79" s="13"/>
      <c r="Z79" s="14"/>
      <c r="AA79" s="13"/>
      <c r="AC79" s="13">
        <v>10</v>
      </c>
      <c r="AD79" s="13">
        <v>10</v>
      </c>
      <c r="AE79" s="13">
        <v>400</v>
      </c>
      <c r="AF79" s="13">
        <v>1</v>
      </c>
      <c r="AG79" s="14">
        <f t="shared" si="26"/>
        <v>0.04</v>
      </c>
      <c r="AH79" s="13">
        <f>SUM(AF72:AF79)</f>
        <v>40</v>
      </c>
      <c r="AI79" s="14">
        <f>SUM(AG72:AG79)</f>
        <v>3.1280000000000001</v>
      </c>
      <c r="AJ79" s="13"/>
      <c r="AL79" s="13">
        <v>13</v>
      </c>
      <c r="AM79" s="13">
        <v>25</v>
      </c>
      <c r="AN79" s="13">
        <v>400</v>
      </c>
      <c r="AO79" s="13">
        <v>2</v>
      </c>
      <c r="AP79" s="14">
        <f t="shared" si="31"/>
        <v>0.26</v>
      </c>
      <c r="AQ79" s="13"/>
      <c r="AR79" s="14"/>
      <c r="AS79" s="13"/>
      <c r="AU79" s="13">
        <v>5</v>
      </c>
      <c r="AV79" s="13">
        <v>25</v>
      </c>
      <c r="AW79" s="13">
        <v>400</v>
      </c>
      <c r="AX79" s="13">
        <v>1</v>
      </c>
      <c r="AY79" s="14">
        <f t="shared" si="20"/>
        <v>0.05</v>
      </c>
      <c r="AZ79" s="13"/>
      <c r="BA79" s="14"/>
      <c r="BB79" s="13"/>
      <c r="BD79" s="13">
        <v>3.5</v>
      </c>
      <c r="BE79" s="13">
        <v>25</v>
      </c>
      <c r="BF79" s="13">
        <v>300</v>
      </c>
      <c r="BG79" s="13">
        <v>1</v>
      </c>
      <c r="BH79" s="14">
        <f t="shared" si="30"/>
        <v>2.6249999999999999E-2</v>
      </c>
      <c r="BI79" s="13">
        <f>SUM(BG60:BG79)</f>
        <v>302</v>
      </c>
      <c r="BJ79" s="14">
        <f>SUM(BH60:BH79)</f>
        <v>4.2190999999999992</v>
      </c>
      <c r="BK79" s="41" t="s">
        <v>23</v>
      </c>
      <c r="BM79" s="13">
        <v>2</v>
      </c>
      <c r="BN79" s="13">
        <v>15</v>
      </c>
      <c r="BO79" s="13">
        <v>400</v>
      </c>
      <c r="BP79" s="13">
        <v>3</v>
      </c>
      <c r="BQ79" s="14">
        <f t="shared" si="27"/>
        <v>3.5999999999999997E-2</v>
      </c>
      <c r="BR79" s="13"/>
      <c r="BS79" s="14"/>
      <c r="BT79" s="41"/>
      <c r="BV79" s="231"/>
      <c r="BW79" s="231"/>
      <c r="BX79" s="231"/>
      <c r="BY79" s="231"/>
      <c r="BZ79" s="231"/>
      <c r="CA79" s="231"/>
      <c r="CB79" s="231"/>
      <c r="CC79" s="231"/>
      <c r="CE79" s="231" t="s">
        <v>19</v>
      </c>
      <c r="CF79" s="231"/>
      <c r="CG79" s="231"/>
      <c r="CH79" s="231"/>
      <c r="CI79" s="231"/>
      <c r="CJ79" s="231"/>
      <c r="CK79" s="231"/>
      <c r="CL79" s="231"/>
      <c r="CN79" s="13">
        <v>7</v>
      </c>
      <c r="CO79" s="13">
        <v>25</v>
      </c>
      <c r="CP79" s="13">
        <v>400</v>
      </c>
      <c r="CQ79" s="13">
        <v>1</v>
      </c>
      <c r="CR79" s="14">
        <f t="shared" si="25"/>
        <v>7.0000000000000007E-2</v>
      </c>
      <c r="CS79" s="13"/>
      <c r="CT79" s="14"/>
      <c r="CU79" s="41"/>
      <c r="CW79" s="13">
        <v>4.5</v>
      </c>
      <c r="CX79" s="13">
        <v>20</v>
      </c>
      <c r="CY79" s="13">
        <v>400</v>
      </c>
      <c r="CZ79" s="13">
        <v>1</v>
      </c>
      <c r="DA79" s="14">
        <f t="shared" si="32"/>
        <v>3.5999999999999997E-2</v>
      </c>
      <c r="DB79" s="13"/>
      <c r="DC79" s="14"/>
      <c r="DD79" s="13"/>
      <c r="DF79" s="13">
        <v>10</v>
      </c>
      <c r="DG79" s="13">
        <v>25</v>
      </c>
      <c r="DH79" s="13">
        <v>400</v>
      </c>
      <c r="DI79" s="13">
        <v>5</v>
      </c>
      <c r="DJ79" s="14">
        <f t="shared" si="22"/>
        <v>0.5</v>
      </c>
      <c r="DK79" s="13"/>
      <c r="DL79" s="14"/>
      <c r="DM79" s="41"/>
    </row>
    <row r="80" spans="2:117" ht="15.75" x14ac:dyDescent="0.25">
      <c r="B80" s="13">
        <v>10</v>
      </c>
      <c r="C80" s="13">
        <v>28</v>
      </c>
      <c r="D80" s="13">
        <v>400</v>
      </c>
      <c r="E80" s="13">
        <v>1</v>
      </c>
      <c r="F80" s="20">
        <f t="shared" si="28"/>
        <v>0.112</v>
      </c>
      <c r="G80" s="13"/>
      <c r="H80" s="14"/>
      <c r="I80" s="13"/>
      <c r="K80" s="13">
        <v>10</v>
      </c>
      <c r="L80" s="13">
        <v>33</v>
      </c>
      <c r="M80" s="13">
        <v>400</v>
      </c>
      <c r="N80" s="13">
        <v>3</v>
      </c>
      <c r="O80" s="14">
        <f t="shared" si="29"/>
        <v>0.39600000000000002</v>
      </c>
      <c r="P80" s="13"/>
      <c r="Q80" s="14"/>
      <c r="R80" s="13"/>
      <c r="T80" s="13">
        <v>8</v>
      </c>
      <c r="U80" s="13">
        <v>15</v>
      </c>
      <c r="V80" s="13">
        <v>400</v>
      </c>
      <c r="W80" s="13">
        <v>6</v>
      </c>
      <c r="X80" s="14">
        <f t="shared" si="24"/>
        <v>0.28799999999999998</v>
      </c>
      <c r="Y80" s="13"/>
      <c r="Z80" s="14"/>
      <c r="AA80" s="13"/>
      <c r="AC80" s="13">
        <v>7</v>
      </c>
      <c r="AD80" s="13">
        <v>25</v>
      </c>
      <c r="AE80" s="13">
        <v>400</v>
      </c>
      <c r="AF80" s="13">
        <v>3</v>
      </c>
      <c r="AG80" s="14">
        <f t="shared" si="26"/>
        <v>0.21</v>
      </c>
      <c r="AH80" s="13"/>
      <c r="AI80" s="14"/>
      <c r="AJ80" s="13"/>
      <c r="AL80" s="13">
        <v>13</v>
      </c>
      <c r="AM80" s="13">
        <v>25</v>
      </c>
      <c r="AN80" s="13">
        <v>400</v>
      </c>
      <c r="AO80" s="13">
        <v>1</v>
      </c>
      <c r="AP80" s="14">
        <f t="shared" si="31"/>
        <v>0.13</v>
      </c>
      <c r="AQ80" s="13"/>
      <c r="AR80" s="14"/>
      <c r="AS80" s="13"/>
      <c r="AU80" s="13">
        <v>15</v>
      </c>
      <c r="AV80" s="13">
        <v>30</v>
      </c>
      <c r="AW80" s="13">
        <v>400</v>
      </c>
      <c r="AX80" s="13">
        <v>2</v>
      </c>
      <c r="AY80" s="14">
        <f t="shared" si="20"/>
        <v>0.36</v>
      </c>
      <c r="AZ80" s="13"/>
      <c r="BA80" s="14"/>
      <c r="BB80" s="13"/>
      <c r="BD80" s="239" t="s">
        <v>52</v>
      </c>
      <c r="BE80" s="239"/>
      <c r="BF80" s="240"/>
      <c r="BG80" s="34">
        <f>SUM(BG60:BG79)</f>
        <v>302</v>
      </c>
      <c r="BH80" s="101">
        <f>SUM(BH60:BH79)</f>
        <v>4.2190999999999992</v>
      </c>
      <c r="BI80" s="34">
        <f>SUM(BI60:BI79)</f>
        <v>302</v>
      </c>
      <c r="BJ80" s="102">
        <f>SUM(BJ60:BJ79)</f>
        <v>4.2190999999999992</v>
      </c>
      <c r="BK80" s="33"/>
      <c r="BM80" s="13">
        <v>3</v>
      </c>
      <c r="BN80" s="13">
        <v>12</v>
      </c>
      <c r="BO80" s="13">
        <v>400</v>
      </c>
      <c r="BP80" s="13">
        <v>3</v>
      </c>
      <c r="BQ80" s="14">
        <f t="shared" si="27"/>
        <v>4.3200000000000002E-2</v>
      </c>
      <c r="BR80" s="13"/>
      <c r="BS80" s="14"/>
      <c r="BT80" s="13"/>
      <c r="BV80" s="28" t="s">
        <v>18</v>
      </c>
      <c r="BW80" s="27" t="s">
        <v>121</v>
      </c>
      <c r="BX80" s="26"/>
      <c r="BY80" s="26"/>
      <c r="BZ80" s="26"/>
      <c r="CA80" s="26"/>
      <c r="CB80" s="26"/>
      <c r="CC80" s="26"/>
      <c r="CE80" s="231"/>
      <c r="CF80" s="231"/>
      <c r="CG80" s="231"/>
      <c r="CH80" s="231"/>
      <c r="CI80" s="231"/>
      <c r="CJ80" s="231"/>
      <c r="CK80" s="231"/>
      <c r="CL80" s="231"/>
      <c r="CN80" s="13">
        <v>7</v>
      </c>
      <c r="CO80" s="13">
        <v>20</v>
      </c>
      <c r="CP80" s="13">
        <v>400</v>
      </c>
      <c r="CQ80" s="13">
        <v>1</v>
      </c>
      <c r="CR80" s="14">
        <f t="shared" si="25"/>
        <v>5.6000000000000001E-2</v>
      </c>
      <c r="CS80" s="13"/>
      <c r="CT80" s="14"/>
      <c r="CU80" s="41"/>
      <c r="CW80" s="13">
        <v>4.5</v>
      </c>
      <c r="CX80" s="13">
        <v>10</v>
      </c>
      <c r="CY80" s="13">
        <v>400</v>
      </c>
      <c r="CZ80" s="13">
        <v>12</v>
      </c>
      <c r="DA80" s="14">
        <f t="shared" si="32"/>
        <v>0.216</v>
      </c>
      <c r="DB80" s="13"/>
      <c r="DC80" s="14"/>
      <c r="DD80" s="13"/>
      <c r="DF80" s="13">
        <v>4.5</v>
      </c>
      <c r="DG80" s="13">
        <v>25</v>
      </c>
      <c r="DH80" s="13">
        <v>400</v>
      </c>
      <c r="DI80" s="13">
        <v>3</v>
      </c>
      <c r="DJ80" s="14">
        <f t="shared" si="22"/>
        <v>0.13500000000000001</v>
      </c>
      <c r="DK80" s="13"/>
      <c r="DL80" s="14"/>
      <c r="DM80" s="41"/>
    </row>
    <row r="81" spans="2:117" ht="16.5" thickBot="1" x14ac:dyDescent="0.3">
      <c r="B81" s="13">
        <v>10</v>
      </c>
      <c r="C81" s="13">
        <v>25</v>
      </c>
      <c r="D81" s="13">
        <v>400</v>
      </c>
      <c r="E81" s="13">
        <v>4</v>
      </c>
      <c r="F81" s="20">
        <f t="shared" si="28"/>
        <v>0.4</v>
      </c>
      <c r="G81" s="13"/>
      <c r="H81" s="14"/>
      <c r="I81" s="13"/>
      <c r="K81" s="13">
        <v>10</v>
      </c>
      <c r="L81" s="13">
        <v>30</v>
      </c>
      <c r="M81" s="13">
        <v>400</v>
      </c>
      <c r="N81" s="13">
        <v>4</v>
      </c>
      <c r="O81" s="14">
        <f t="shared" si="29"/>
        <v>0.48</v>
      </c>
      <c r="P81" s="13"/>
      <c r="Q81" s="14"/>
      <c r="R81" s="13"/>
      <c r="T81" s="13">
        <v>8</v>
      </c>
      <c r="U81" s="13">
        <v>13</v>
      </c>
      <c r="V81" s="13">
        <v>400</v>
      </c>
      <c r="W81" s="13">
        <v>1</v>
      </c>
      <c r="X81" s="14">
        <f t="shared" si="24"/>
        <v>4.1599999999999998E-2</v>
      </c>
      <c r="Y81" s="13"/>
      <c r="Z81" s="14"/>
      <c r="AA81" s="13"/>
      <c r="AC81" s="13">
        <v>7</v>
      </c>
      <c r="AD81" s="13">
        <v>20</v>
      </c>
      <c r="AE81" s="13">
        <v>400</v>
      </c>
      <c r="AF81" s="13">
        <v>8</v>
      </c>
      <c r="AG81" s="14">
        <f t="shared" si="26"/>
        <v>0.44800000000000001</v>
      </c>
      <c r="AH81" s="13"/>
      <c r="AI81" s="14"/>
      <c r="AJ81" s="13"/>
      <c r="AL81" s="13">
        <v>13</v>
      </c>
      <c r="AM81" s="13">
        <v>23</v>
      </c>
      <c r="AN81" s="13">
        <v>400</v>
      </c>
      <c r="AO81" s="13">
        <v>4</v>
      </c>
      <c r="AP81" s="14">
        <f t="shared" si="31"/>
        <v>0.47839999999999999</v>
      </c>
      <c r="AQ81" s="13"/>
      <c r="AR81" s="14"/>
      <c r="AS81" s="13"/>
      <c r="AU81" s="13">
        <v>7</v>
      </c>
      <c r="AV81" s="13">
        <v>30</v>
      </c>
      <c r="AW81" s="13">
        <v>400</v>
      </c>
      <c r="AX81" s="13">
        <v>1</v>
      </c>
      <c r="AY81" s="14">
        <f t="shared" si="20"/>
        <v>8.4000000000000005E-2</v>
      </c>
      <c r="AZ81" s="13"/>
      <c r="BA81" s="14"/>
      <c r="BB81" s="13"/>
      <c r="BG81" s="98">
        <f>SUM(BG80,BG59)</f>
        <v>828</v>
      </c>
      <c r="BH81" s="103">
        <f>SUM(BH80,BH59)</f>
        <v>11.021599999999999</v>
      </c>
      <c r="BI81" s="98">
        <f>SUM(BI80,BI59)</f>
        <v>828</v>
      </c>
      <c r="BJ81" s="99">
        <f>SUM(BJ80,BJ59)</f>
        <v>11.021599999999999</v>
      </c>
      <c r="BK81" s="104"/>
      <c r="BM81" s="13">
        <v>2</v>
      </c>
      <c r="BN81" s="13">
        <v>12</v>
      </c>
      <c r="BO81" s="13">
        <v>400</v>
      </c>
      <c r="BP81" s="13">
        <v>9</v>
      </c>
      <c r="BQ81" s="14">
        <f t="shared" si="27"/>
        <v>8.6400000000000005E-2</v>
      </c>
      <c r="BR81" s="13"/>
      <c r="BS81" s="14"/>
      <c r="BT81" s="13"/>
      <c r="BV81" s="28" t="s">
        <v>16</v>
      </c>
      <c r="BW81" s="27" t="s">
        <v>73</v>
      </c>
      <c r="BX81" s="26"/>
      <c r="BY81" s="26"/>
      <c r="BZ81" s="26"/>
      <c r="CA81" s="26"/>
      <c r="CB81" s="26"/>
      <c r="CC81" s="26"/>
      <c r="CE81" s="28" t="s">
        <v>18</v>
      </c>
      <c r="CF81" s="27" t="s">
        <v>136</v>
      </c>
      <c r="CG81" s="26"/>
      <c r="CH81" s="26"/>
      <c r="CI81" s="26"/>
      <c r="CJ81" s="26"/>
      <c r="CK81" s="26"/>
      <c r="CL81" s="26"/>
      <c r="CN81" s="13">
        <v>7</v>
      </c>
      <c r="CO81" s="13">
        <v>15</v>
      </c>
      <c r="CP81" s="13">
        <v>400</v>
      </c>
      <c r="CQ81" s="13">
        <v>11</v>
      </c>
      <c r="CR81" s="14">
        <f t="shared" si="25"/>
        <v>0.46200000000000002</v>
      </c>
      <c r="CS81" s="13"/>
      <c r="CT81" s="14"/>
      <c r="CU81" s="41"/>
      <c r="CW81" s="13">
        <v>2.2000000000000002</v>
      </c>
      <c r="CX81" s="13">
        <v>10</v>
      </c>
      <c r="CY81" s="13">
        <v>400</v>
      </c>
      <c r="CZ81" s="13">
        <v>7</v>
      </c>
      <c r="DA81" s="14">
        <f t="shared" si="32"/>
        <v>6.1600000000000002E-2</v>
      </c>
      <c r="DB81" s="13"/>
      <c r="DC81" s="14"/>
      <c r="DD81" s="13"/>
      <c r="DF81" s="13">
        <v>8</v>
      </c>
      <c r="DG81" s="13">
        <v>25</v>
      </c>
      <c r="DH81" s="13">
        <v>400</v>
      </c>
      <c r="DI81" s="13">
        <v>1</v>
      </c>
      <c r="DJ81" s="14">
        <f t="shared" si="22"/>
        <v>0.08</v>
      </c>
      <c r="DK81" s="13"/>
      <c r="DL81" s="14"/>
      <c r="DM81" s="41"/>
    </row>
    <row r="82" spans="2:117" ht="16.5" customHeight="1" thickTop="1" x14ac:dyDescent="0.25">
      <c r="B82" s="13">
        <v>10</v>
      </c>
      <c r="C82" s="13">
        <v>23</v>
      </c>
      <c r="D82" s="13">
        <v>400</v>
      </c>
      <c r="E82" s="13">
        <v>2</v>
      </c>
      <c r="F82" s="20">
        <f t="shared" si="28"/>
        <v>0.184</v>
      </c>
      <c r="G82" s="13"/>
      <c r="H82" s="14"/>
      <c r="I82" s="13"/>
      <c r="K82" s="13">
        <v>8</v>
      </c>
      <c r="L82" s="13">
        <v>33</v>
      </c>
      <c r="M82" s="13">
        <v>400</v>
      </c>
      <c r="N82" s="13">
        <v>2</v>
      </c>
      <c r="O82" s="14">
        <f t="shared" si="29"/>
        <v>0.2112</v>
      </c>
      <c r="P82" s="13"/>
      <c r="Q82" s="14"/>
      <c r="R82" s="13"/>
      <c r="T82" s="13">
        <v>8</v>
      </c>
      <c r="U82" s="13">
        <v>10</v>
      </c>
      <c r="V82" s="13">
        <v>400</v>
      </c>
      <c r="W82" s="13">
        <v>1</v>
      </c>
      <c r="X82" s="14">
        <f t="shared" si="24"/>
        <v>3.2000000000000001E-2</v>
      </c>
      <c r="Y82" s="13">
        <f>SUM(W76:W82)</f>
        <v>16</v>
      </c>
      <c r="Z82" s="14">
        <f>SUM(X76:X82)</f>
        <v>0.92800000000000005</v>
      </c>
      <c r="AA82" s="13"/>
      <c r="AC82" s="13">
        <v>7</v>
      </c>
      <c r="AD82" s="13">
        <v>18</v>
      </c>
      <c r="AE82" s="13">
        <v>400</v>
      </c>
      <c r="AF82" s="13">
        <v>1</v>
      </c>
      <c r="AG82" s="14">
        <f t="shared" si="26"/>
        <v>5.04E-2</v>
      </c>
      <c r="AH82" s="13"/>
      <c r="AI82" s="14"/>
      <c r="AJ82" s="13"/>
      <c r="AL82" s="13">
        <v>13</v>
      </c>
      <c r="AM82" s="13">
        <v>20</v>
      </c>
      <c r="AN82" s="13">
        <v>400</v>
      </c>
      <c r="AO82" s="13">
        <v>3</v>
      </c>
      <c r="AP82" s="14">
        <f t="shared" si="31"/>
        <v>0.312</v>
      </c>
      <c r="AQ82" s="13">
        <f>SUM(AO79:AO82)</f>
        <v>10</v>
      </c>
      <c r="AR82" s="14">
        <f>SUM(AP79:AP82)</f>
        <v>1.1804000000000001</v>
      </c>
      <c r="AS82" s="13"/>
      <c r="AU82" s="13">
        <v>8</v>
      </c>
      <c r="AV82" s="13">
        <v>30</v>
      </c>
      <c r="AW82" s="13">
        <v>400</v>
      </c>
      <c r="AX82" s="13">
        <v>2</v>
      </c>
      <c r="AY82" s="14">
        <f t="shared" si="20"/>
        <v>0.192</v>
      </c>
      <c r="AZ82" s="13"/>
      <c r="BA82" s="14"/>
      <c r="BB82" s="13"/>
      <c r="BM82" s="13">
        <v>10</v>
      </c>
      <c r="BN82" s="13">
        <v>12</v>
      </c>
      <c r="BO82" s="13">
        <v>400</v>
      </c>
      <c r="BP82" s="13">
        <v>1</v>
      </c>
      <c r="BQ82" s="14">
        <f t="shared" si="27"/>
        <v>4.8000000000000001E-2</v>
      </c>
      <c r="BR82" s="13"/>
      <c r="BS82" s="14"/>
      <c r="BT82" s="13"/>
      <c r="BV82" s="43"/>
      <c r="BW82" s="25"/>
      <c r="BX82" s="25"/>
      <c r="BY82" s="25"/>
      <c r="BZ82" s="25"/>
      <c r="CA82" s="225" t="s">
        <v>129</v>
      </c>
      <c r="CB82" s="225"/>
      <c r="CC82" s="225"/>
      <c r="CE82" s="28" t="s">
        <v>16</v>
      </c>
      <c r="CF82" s="27" t="s">
        <v>137</v>
      </c>
      <c r="CG82" s="26"/>
      <c r="CH82" s="26"/>
      <c r="CI82" s="26"/>
      <c r="CJ82" s="26"/>
      <c r="CK82" s="26"/>
      <c r="CL82" s="26"/>
      <c r="CN82" s="13">
        <v>7</v>
      </c>
      <c r="CO82" s="13">
        <v>15</v>
      </c>
      <c r="CP82" s="13">
        <v>400</v>
      </c>
      <c r="CQ82" s="13">
        <v>1</v>
      </c>
      <c r="CR82" s="14">
        <f t="shared" si="25"/>
        <v>4.2000000000000003E-2</v>
      </c>
      <c r="CS82" s="13"/>
      <c r="CT82" s="14"/>
      <c r="CU82" s="41"/>
      <c r="CW82" s="105">
        <v>10</v>
      </c>
      <c r="CX82" s="105">
        <v>30</v>
      </c>
      <c r="CY82" s="105">
        <v>400</v>
      </c>
      <c r="CZ82" s="105">
        <v>1</v>
      </c>
      <c r="DA82" s="14">
        <f t="shared" si="32"/>
        <v>0.12</v>
      </c>
      <c r="DB82" s="105"/>
      <c r="DC82" s="14"/>
      <c r="DD82" s="197"/>
      <c r="DF82" s="13">
        <v>15</v>
      </c>
      <c r="DG82" s="13">
        <v>25</v>
      </c>
      <c r="DH82" s="13">
        <v>400</v>
      </c>
      <c r="DI82" s="13">
        <v>2</v>
      </c>
      <c r="DJ82" s="14">
        <f t="shared" si="22"/>
        <v>0.3</v>
      </c>
      <c r="DK82" s="13"/>
      <c r="DL82" s="14"/>
      <c r="DM82" s="41"/>
    </row>
    <row r="83" spans="2:117" ht="15.75" customHeight="1" x14ac:dyDescent="0.25">
      <c r="B83" s="13">
        <v>10</v>
      </c>
      <c r="C83" s="13">
        <v>20</v>
      </c>
      <c r="D83" s="13">
        <v>400</v>
      </c>
      <c r="E83" s="13">
        <v>9</v>
      </c>
      <c r="F83" s="20">
        <f t="shared" si="28"/>
        <v>0.72</v>
      </c>
      <c r="G83" s="13"/>
      <c r="H83" s="14"/>
      <c r="I83" s="13"/>
      <c r="K83" s="13">
        <v>8</v>
      </c>
      <c r="L83" s="13">
        <v>30</v>
      </c>
      <c r="M83" s="13">
        <v>400</v>
      </c>
      <c r="N83" s="13">
        <v>1</v>
      </c>
      <c r="O83" s="14">
        <f t="shared" si="29"/>
        <v>9.6000000000000002E-2</v>
      </c>
      <c r="P83" s="13"/>
      <c r="Q83" s="14"/>
      <c r="R83" s="13"/>
      <c r="T83" s="13">
        <v>5</v>
      </c>
      <c r="U83" s="13">
        <v>18</v>
      </c>
      <c r="V83" s="13">
        <v>400</v>
      </c>
      <c r="W83" s="13">
        <v>1</v>
      </c>
      <c r="X83" s="14">
        <f t="shared" si="24"/>
        <v>3.5999999999999997E-2</v>
      </c>
      <c r="Y83" s="13"/>
      <c r="Z83" s="14"/>
      <c r="AA83" s="13"/>
      <c r="AC83" s="13">
        <v>7</v>
      </c>
      <c r="AD83" s="13">
        <v>15</v>
      </c>
      <c r="AE83" s="13">
        <v>400</v>
      </c>
      <c r="AF83" s="13">
        <v>2</v>
      </c>
      <c r="AG83" s="14">
        <f t="shared" si="26"/>
        <v>8.4000000000000005E-2</v>
      </c>
      <c r="AH83" s="13"/>
      <c r="AI83" s="14"/>
      <c r="AJ83" s="13"/>
      <c r="AL83" s="13">
        <v>10</v>
      </c>
      <c r="AM83" s="13">
        <v>25</v>
      </c>
      <c r="AN83" s="13">
        <v>400</v>
      </c>
      <c r="AO83" s="13">
        <v>2</v>
      </c>
      <c r="AP83" s="14">
        <f t="shared" si="31"/>
        <v>0.2</v>
      </c>
      <c r="AQ83" s="13"/>
      <c r="AR83" s="14"/>
      <c r="AS83" s="13"/>
      <c r="AU83" s="13">
        <v>15</v>
      </c>
      <c r="AV83" s="13">
        <v>33</v>
      </c>
      <c r="AW83" s="13">
        <v>400</v>
      </c>
      <c r="AX83" s="13">
        <v>1</v>
      </c>
      <c r="AY83" s="14">
        <f t="shared" si="20"/>
        <v>0.19800000000000001</v>
      </c>
      <c r="AZ83" s="13">
        <f>SUM(AX57:AX83)</f>
        <v>109</v>
      </c>
      <c r="BA83" s="95">
        <f>SUM(AY57:AY83)</f>
        <v>6.0288000000000022</v>
      </c>
      <c r="BB83" s="41" t="s">
        <v>23</v>
      </c>
      <c r="BD83" s="231" t="s">
        <v>19</v>
      </c>
      <c r="BE83" s="231"/>
      <c r="BF83" s="231"/>
      <c r="BG83" s="231"/>
      <c r="BH83" s="231"/>
      <c r="BI83" s="231"/>
      <c r="BJ83" s="231"/>
      <c r="BK83" s="231"/>
      <c r="BM83" s="13">
        <v>7</v>
      </c>
      <c r="BN83" s="13">
        <v>12</v>
      </c>
      <c r="BO83" s="13">
        <v>400</v>
      </c>
      <c r="BP83" s="13">
        <v>1</v>
      </c>
      <c r="BQ83" s="14">
        <f t="shared" si="27"/>
        <v>3.3599999999999998E-2</v>
      </c>
      <c r="BR83" s="13"/>
      <c r="BS83" s="14"/>
      <c r="BT83" s="13"/>
      <c r="BV83" s="226" t="s">
        <v>13</v>
      </c>
      <c r="BW83" s="227"/>
      <c r="BX83" s="228"/>
      <c r="BY83" s="227" t="s">
        <v>12</v>
      </c>
      <c r="BZ83" s="228"/>
      <c r="CA83" s="227" t="s">
        <v>12</v>
      </c>
      <c r="CB83" s="228"/>
      <c r="CC83" s="229" t="s">
        <v>11</v>
      </c>
      <c r="CE83" s="43"/>
      <c r="CF83" s="25"/>
      <c r="CG83" s="25"/>
      <c r="CH83" s="25"/>
      <c r="CI83" s="25"/>
      <c r="CJ83" s="225" t="s">
        <v>135</v>
      </c>
      <c r="CK83" s="225"/>
      <c r="CL83" s="225"/>
      <c r="CN83" s="13">
        <v>7</v>
      </c>
      <c r="CO83" s="13">
        <v>13</v>
      </c>
      <c r="CP83" s="13">
        <v>400</v>
      </c>
      <c r="CQ83" s="13">
        <v>4</v>
      </c>
      <c r="CR83" s="14">
        <f t="shared" si="25"/>
        <v>0.14560000000000001</v>
      </c>
      <c r="CS83" s="13"/>
      <c r="CT83" s="14"/>
      <c r="CU83" s="41"/>
      <c r="CW83" s="13">
        <v>8</v>
      </c>
      <c r="CX83" s="13">
        <v>23</v>
      </c>
      <c r="CY83" s="13">
        <v>400</v>
      </c>
      <c r="CZ83" s="13">
        <v>1</v>
      </c>
      <c r="DA83" s="14">
        <f t="shared" si="32"/>
        <v>7.3599999999999999E-2</v>
      </c>
      <c r="DB83" s="13"/>
      <c r="DC83" s="14"/>
      <c r="DD83" s="41"/>
      <c r="DF83" s="13">
        <v>10</v>
      </c>
      <c r="DG83" s="13">
        <v>23</v>
      </c>
      <c r="DH83" s="13">
        <v>400</v>
      </c>
      <c r="DI83" s="13">
        <v>1</v>
      </c>
      <c r="DJ83" s="14">
        <f t="shared" si="22"/>
        <v>9.1999999999999998E-2</v>
      </c>
      <c r="DK83" s="13"/>
      <c r="DL83" s="14"/>
      <c r="DM83" s="41"/>
    </row>
    <row r="84" spans="2:117" ht="16.5" thickBot="1" x14ac:dyDescent="0.3">
      <c r="B84" s="13">
        <v>10</v>
      </c>
      <c r="C84" s="13">
        <v>18</v>
      </c>
      <c r="D84" s="13">
        <v>400</v>
      </c>
      <c r="E84" s="13">
        <v>3</v>
      </c>
      <c r="F84" s="20">
        <f t="shared" si="28"/>
        <v>0.216</v>
      </c>
      <c r="G84" s="13"/>
      <c r="H84" s="14"/>
      <c r="I84" s="13"/>
      <c r="K84" s="13">
        <v>2.2000000000000002</v>
      </c>
      <c r="L84" s="13">
        <v>30</v>
      </c>
      <c r="M84" s="13">
        <v>400</v>
      </c>
      <c r="N84" s="13">
        <v>1</v>
      </c>
      <c r="O84" s="14">
        <f t="shared" si="29"/>
        <v>2.64E-2</v>
      </c>
      <c r="P84" s="13"/>
      <c r="Q84" s="14"/>
      <c r="R84" s="13"/>
      <c r="T84" s="13">
        <v>5</v>
      </c>
      <c r="U84" s="13">
        <v>15</v>
      </c>
      <c r="V84" s="13">
        <v>400</v>
      </c>
      <c r="W84" s="13">
        <v>9</v>
      </c>
      <c r="X84" s="14">
        <f t="shared" si="24"/>
        <v>0.27</v>
      </c>
      <c r="Y84" s="13"/>
      <c r="Z84" s="14"/>
      <c r="AA84" s="13"/>
      <c r="AC84" s="13">
        <v>7</v>
      </c>
      <c r="AD84" s="13">
        <v>10</v>
      </c>
      <c r="AE84" s="13">
        <v>400</v>
      </c>
      <c r="AF84" s="13">
        <v>4</v>
      </c>
      <c r="AG84" s="14">
        <f t="shared" si="26"/>
        <v>0.112</v>
      </c>
      <c r="AH84" s="13">
        <f>SUM(AF80:AF84)</f>
        <v>18</v>
      </c>
      <c r="AI84" s="14">
        <f>SUM(AG80:AG84)</f>
        <v>0.90439999999999998</v>
      </c>
      <c r="AJ84" s="13"/>
      <c r="AL84" s="13">
        <v>10</v>
      </c>
      <c r="AM84" s="13">
        <v>23</v>
      </c>
      <c r="AN84" s="13">
        <v>400</v>
      </c>
      <c r="AO84" s="13">
        <v>7</v>
      </c>
      <c r="AP84" s="14">
        <f t="shared" si="31"/>
        <v>0.64400000000000002</v>
      </c>
      <c r="AQ84" s="13"/>
      <c r="AR84" s="14"/>
      <c r="AS84" s="13"/>
      <c r="AU84" s="237"/>
      <c r="AV84" s="237"/>
      <c r="AW84" s="238"/>
      <c r="AX84" s="17">
        <f>SUM(AX8:AX83)</f>
        <v>274</v>
      </c>
      <c r="AY84" s="32">
        <f>SUM(AY8:AY83)</f>
        <v>12.052000000000003</v>
      </c>
      <c r="AZ84" s="17">
        <f>SUM(AZ8:AZ83)</f>
        <v>274</v>
      </c>
      <c r="BA84" s="32">
        <f>SUM(BA8:BA83)</f>
        <v>12.052000000000003</v>
      </c>
      <c r="BB84" s="17"/>
      <c r="BD84" s="231"/>
      <c r="BE84" s="231"/>
      <c r="BF84" s="231"/>
      <c r="BG84" s="231"/>
      <c r="BH84" s="231"/>
      <c r="BI84" s="231"/>
      <c r="BJ84" s="231"/>
      <c r="BK84" s="231"/>
      <c r="BM84" s="13">
        <v>6</v>
      </c>
      <c r="BN84" s="13">
        <v>12</v>
      </c>
      <c r="BO84" s="13">
        <v>400</v>
      </c>
      <c r="BP84" s="13">
        <v>2</v>
      </c>
      <c r="BQ84" s="14">
        <f t="shared" si="27"/>
        <v>5.7599999999999998E-2</v>
      </c>
      <c r="BR84" s="13"/>
      <c r="BS84" s="14"/>
      <c r="BT84" s="13"/>
      <c r="BV84" s="24" t="s">
        <v>10</v>
      </c>
      <c r="BW84" s="23" t="s">
        <v>9</v>
      </c>
      <c r="BX84" s="23" t="s">
        <v>8</v>
      </c>
      <c r="BY84" s="22" t="s">
        <v>7</v>
      </c>
      <c r="BZ84" s="21" t="s">
        <v>6</v>
      </c>
      <c r="CA84" s="22" t="s">
        <v>7</v>
      </c>
      <c r="CB84" s="21" t="s">
        <v>6</v>
      </c>
      <c r="CC84" s="230"/>
      <c r="CE84" s="226" t="s">
        <v>13</v>
      </c>
      <c r="CF84" s="227"/>
      <c r="CG84" s="228"/>
      <c r="CH84" s="227" t="s">
        <v>12</v>
      </c>
      <c r="CI84" s="228"/>
      <c r="CJ84" s="227" t="s">
        <v>12</v>
      </c>
      <c r="CK84" s="228"/>
      <c r="CL84" s="229" t="s">
        <v>11</v>
      </c>
      <c r="CN84" s="13">
        <v>7</v>
      </c>
      <c r="CO84" s="13">
        <v>10</v>
      </c>
      <c r="CP84" s="13">
        <v>400</v>
      </c>
      <c r="CQ84" s="13">
        <v>9</v>
      </c>
      <c r="CR84" s="14">
        <f t="shared" si="25"/>
        <v>0.252</v>
      </c>
      <c r="CS84" s="13"/>
      <c r="CT84" s="14"/>
      <c r="CU84" s="41"/>
      <c r="CW84" s="13">
        <v>15</v>
      </c>
      <c r="CX84" s="13">
        <v>25</v>
      </c>
      <c r="CY84" s="13">
        <v>400</v>
      </c>
      <c r="CZ84" s="13">
        <v>1</v>
      </c>
      <c r="DA84" s="14">
        <f t="shared" si="32"/>
        <v>0.15</v>
      </c>
      <c r="DB84" s="13"/>
      <c r="DC84" s="14"/>
      <c r="DD84" s="41"/>
      <c r="DF84" s="13">
        <v>13</v>
      </c>
      <c r="DG84" s="13">
        <v>28</v>
      </c>
      <c r="DH84" s="13">
        <v>400</v>
      </c>
      <c r="DI84" s="13">
        <v>1</v>
      </c>
      <c r="DJ84" s="14">
        <f t="shared" si="22"/>
        <v>0.14560000000000001</v>
      </c>
      <c r="DK84" s="13"/>
      <c r="DL84" s="14"/>
      <c r="DM84" s="41"/>
    </row>
    <row r="85" spans="2:117" ht="16.5" thickTop="1" x14ac:dyDescent="0.25">
      <c r="B85" s="13">
        <v>10</v>
      </c>
      <c r="C85" s="13">
        <v>15</v>
      </c>
      <c r="D85" s="13">
        <v>400</v>
      </c>
      <c r="E85" s="13">
        <v>9</v>
      </c>
      <c r="F85" s="20">
        <f t="shared" si="28"/>
        <v>0.54</v>
      </c>
      <c r="G85" s="13"/>
      <c r="H85" s="14"/>
      <c r="I85" s="13"/>
      <c r="K85" s="13">
        <v>13</v>
      </c>
      <c r="L85" s="13">
        <v>28</v>
      </c>
      <c r="M85" s="13">
        <v>400</v>
      </c>
      <c r="N85" s="13">
        <v>1</v>
      </c>
      <c r="O85" s="14">
        <f t="shared" si="29"/>
        <v>0.14560000000000001</v>
      </c>
      <c r="P85" s="13"/>
      <c r="Q85" s="14"/>
      <c r="R85" s="13"/>
      <c r="T85" s="122">
        <v>5</v>
      </c>
      <c r="U85" s="122">
        <v>7</v>
      </c>
      <c r="V85" s="122">
        <v>400</v>
      </c>
      <c r="W85" s="122">
        <v>176</v>
      </c>
      <c r="X85" s="123">
        <f t="shared" si="24"/>
        <v>2.464</v>
      </c>
      <c r="Y85" s="122">
        <f>SUM(W83:W85)</f>
        <v>186</v>
      </c>
      <c r="Z85" s="123">
        <f>SUM(X83:X85)</f>
        <v>2.77</v>
      </c>
      <c r="AA85" s="122"/>
      <c r="AC85" s="13">
        <v>4.5</v>
      </c>
      <c r="AD85" s="13">
        <v>25</v>
      </c>
      <c r="AE85" s="13">
        <v>400</v>
      </c>
      <c r="AF85" s="13">
        <v>1</v>
      </c>
      <c r="AG85" s="14">
        <f t="shared" si="26"/>
        <v>4.4999999999999998E-2</v>
      </c>
      <c r="AH85" s="13"/>
      <c r="AI85" s="14"/>
      <c r="AJ85" s="13"/>
      <c r="AL85" s="13">
        <v>10</v>
      </c>
      <c r="AM85" s="13">
        <v>20</v>
      </c>
      <c r="AN85" s="13">
        <v>400</v>
      </c>
      <c r="AO85" s="13">
        <v>3</v>
      </c>
      <c r="AP85" s="14">
        <f t="shared" si="31"/>
        <v>0.24</v>
      </c>
      <c r="AQ85" s="13"/>
      <c r="AR85" s="14"/>
      <c r="AS85" s="13"/>
      <c r="BD85" s="28" t="s">
        <v>18</v>
      </c>
      <c r="BE85" s="27" t="s">
        <v>104</v>
      </c>
      <c r="BF85" s="26"/>
      <c r="BG85" s="26"/>
      <c r="BH85" s="26"/>
      <c r="BI85" s="26"/>
      <c r="BJ85" s="26"/>
      <c r="BK85" s="26"/>
      <c r="BM85" s="13">
        <v>4</v>
      </c>
      <c r="BN85" s="13">
        <v>12</v>
      </c>
      <c r="BO85" s="13">
        <v>400</v>
      </c>
      <c r="BP85" s="13">
        <v>3</v>
      </c>
      <c r="BQ85" s="14">
        <f t="shared" si="27"/>
        <v>5.7599999999999998E-2</v>
      </c>
      <c r="BR85" s="13"/>
      <c r="BS85" s="14"/>
      <c r="BT85" s="13"/>
      <c r="BV85" s="13">
        <v>4.5</v>
      </c>
      <c r="BW85" s="13">
        <v>33</v>
      </c>
      <c r="BX85" s="13">
        <v>400</v>
      </c>
      <c r="BY85" s="13">
        <v>1</v>
      </c>
      <c r="BZ85" s="14">
        <f t="shared" ref="BZ85:BZ126" si="33">BV85*BW85*BX85*BY85/1000000</f>
        <v>5.9400000000000001E-2</v>
      </c>
      <c r="CA85" s="13"/>
      <c r="CB85" s="14"/>
      <c r="CC85" s="13"/>
      <c r="CE85" s="24" t="s">
        <v>10</v>
      </c>
      <c r="CF85" s="23" t="s">
        <v>9</v>
      </c>
      <c r="CG85" s="23" t="s">
        <v>8</v>
      </c>
      <c r="CH85" s="22" t="s">
        <v>7</v>
      </c>
      <c r="CI85" s="21" t="s">
        <v>6</v>
      </c>
      <c r="CJ85" s="22" t="s">
        <v>7</v>
      </c>
      <c r="CK85" s="21" t="s">
        <v>6</v>
      </c>
      <c r="CL85" s="230"/>
      <c r="CN85" s="13">
        <v>4.5</v>
      </c>
      <c r="CO85" s="13">
        <v>20</v>
      </c>
      <c r="CP85" s="13">
        <v>400</v>
      </c>
      <c r="CQ85" s="13">
        <v>3</v>
      </c>
      <c r="CR85" s="14">
        <f t="shared" si="25"/>
        <v>0.108</v>
      </c>
      <c r="CS85" s="13"/>
      <c r="CT85" s="14"/>
      <c r="CU85" s="41"/>
      <c r="CW85" s="13">
        <v>7</v>
      </c>
      <c r="CX85" s="13">
        <v>20</v>
      </c>
      <c r="CY85" s="13">
        <v>400</v>
      </c>
      <c r="CZ85" s="13">
        <v>1</v>
      </c>
      <c r="DA85" s="14">
        <f t="shared" si="32"/>
        <v>5.6000000000000001E-2</v>
      </c>
      <c r="DB85" s="13"/>
      <c r="DC85" s="14"/>
      <c r="DD85" s="41"/>
      <c r="DF85" s="13">
        <v>15</v>
      </c>
      <c r="DG85" s="13">
        <v>30</v>
      </c>
      <c r="DH85" s="13">
        <v>400</v>
      </c>
      <c r="DI85" s="13">
        <v>5</v>
      </c>
      <c r="DJ85" s="14">
        <f t="shared" si="22"/>
        <v>0.9</v>
      </c>
      <c r="DK85" s="13"/>
      <c r="DL85" s="14"/>
      <c r="DM85" s="41"/>
    </row>
    <row r="86" spans="2:117" ht="15.75" x14ac:dyDescent="0.25">
      <c r="B86" s="13">
        <v>10</v>
      </c>
      <c r="C86" s="13">
        <v>13</v>
      </c>
      <c r="D86" s="13">
        <v>400</v>
      </c>
      <c r="E86" s="13">
        <v>1</v>
      </c>
      <c r="F86" s="20">
        <f t="shared" si="28"/>
        <v>5.1999999999999998E-2</v>
      </c>
      <c r="G86" s="13"/>
      <c r="H86" s="14"/>
      <c r="I86" s="13"/>
      <c r="K86" s="13">
        <v>8</v>
      </c>
      <c r="L86" s="13">
        <v>28</v>
      </c>
      <c r="M86" s="13">
        <v>400</v>
      </c>
      <c r="N86" s="13">
        <v>1</v>
      </c>
      <c r="O86" s="14">
        <f t="shared" si="29"/>
        <v>8.9599999999999999E-2</v>
      </c>
      <c r="P86" s="13">
        <f>SUM(N80:N86)</f>
        <v>13</v>
      </c>
      <c r="Q86" s="14">
        <f>SUM(O80:O86)</f>
        <v>1.4447999999999999</v>
      </c>
      <c r="R86" s="13"/>
      <c r="T86" s="13">
        <v>4.5</v>
      </c>
      <c r="U86" s="13">
        <v>18</v>
      </c>
      <c r="V86" s="13">
        <v>400</v>
      </c>
      <c r="W86" s="13">
        <v>1</v>
      </c>
      <c r="X86" s="14">
        <f t="shared" si="24"/>
        <v>3.2399999999999998E-2</v>
      </c>
      <c r="Y86" s="13"/>
      <c r="Z86" s="14"/>
      <c r="AA86" s="13"/>
      <c r="AC86" s="13">
        <v>4.5</v>
      </c>
      <c r="AD86" s="13">
        <v>20</v>
      </c>
      <c r="AE86" s="13">
        <v>400</v>
      </c>
      <c r="AF86" s="13">
        <v>1</v>
      </c>
      <c r="AG86" s="14">
        <f t="shared" si="26"/>
        <v>3.5999999999999997E-2</v>
      </c>
      <c r="AH86" s="13"/>
      <c r="AI86" s="14"/>
      <c r="AJ86" s="13"/>
      <c r="AL86" s="13">
        <v>10</v>
      </c>
      <c r="AM86" s="13">
        <v>18</v>
      </c>
      <c r="AN86" s="13">
        <v>400</v>
      </c>
      <c r="AO86" s="13">
        <v>1</v>
      </c>
      <c r="AP86" s="14">
        <f t="shared" si="31"/>
        <v>7.1999999999999995E-2</v>
      </c>
      <c r="AQ86" s="13">
        <f>SUM(AO83:AO86)</f>
        <v>13</v>
      </c>
      <c r="AR86" s="14">
        <f>SUM(AP83:AP86)</f>
        <v>1.1560000000000001</v>
      </c>
      <c r="AS86" s="13"/>
      <c r="AU86" s="28" t="s">
        <v>18</v>
      </c>
      <c r="AV86" s="27" t="s">
        <v>45</v>
      </c>
      <c r="AW86" s="26"/>
      <c r="AX86" s="26"/>
      <c r="AY86" s="26"/>
      <c r="AZ86" s="26"/>
      <c r="BA86" s="26"/>
      <c r="BB86" s="26"/>
      <c r="BD86" s="28" t="s">
        <v>16</v>
      </c>
      <c r="BE86" s="27" t="s">
        <v>105</v>
      </c>
      <c r="BF86" s="26"/>
      <c r="BG86" s="26"/>
      <c r="BH86" s="26"/>
      <c r="BI86" s="26"/>
      <c r="BJ86" s="26"/>
      <c r="BK86" s="26"/>
      <c r="BM86" s="13">
        <v>6</v>
      </c>
      <c r="BN86" s="13">
        <v>10</v>
      </c>
      <c r="BO86" s="13">
        <v>400</v>
      </c>
      <c r="BP86" s="13">
        <v>3</v>
      </c>
      <c r="BQ86" s="14">
        <f t="shared" si="27"/>
        <v>7.1999999999999995E-2</v>
      </c>
      <c r="BR86" s="13"/>
      <c r="BS86" s="14"/>
      <c r="BT86" s="13"/>
      <c r="BV86" s="13">
        <v>13</v>
      </c>
      <c r="BW86" s="13">
        <v>33</v>
      </c>
      <c r="BX86" s="13">
        <v>400</v>
      </c>
      <c r="BY86" s="13">
        <v>1</v>
      </c>
      <c r="BZ86" s="14">
        <f t="shared" si="33"/>
        <v>0.1716</v>
      </c>
      <c r="CA86" s="13"/>
      <c r="CB86" s="14"/>
      <c r="CC86" s="13"/>
      <c r="CE86" s="13">
        <v>4.5</v>
      </c>
      <c r="CF86" s="13">
        <v>10</v>
      </c>
      <c r="CG86" s="13">
        <v>400</v>
      </c>
      <c r="CH86" s="13">
        <v>141</v>
      </c>
      <c r="CI86" s="14">
        <f t="shared" ref="CI86:CI107" si="34">CE86*CF86*CG86*CH86/1000000</f>
        <v>2.5379999999999998</v>
      </c>
      <c r="CJ86" s="13"/>
      <c r="CK86" s="14"/>
      <c r="CL86" s="13"/>
      <c r="CN86" s="13">
        <v>4.5</v>
      </c>
      <c r="CO86" s="13">
        <v>15</v>
      </c>
      <c r="CP86" s="13">
        <v>400</v>
      </c>
      <c r="CQ86" s="13">
        <v>21</v>
      </c>
      <c r="CR86" s="14">
        <f t="shared" si="25"/>
        <v>0.56699999999999995</v>
      </c>
      <c r="CS86" s="13"/>
      <c r="CT86" s="14"/>
      <c r="CU86" s="41"/>
      <c r="CW86" s="13">
        <v>2.2000000000000002</v>
      </c>
      <c r="CX86" s="13">
        <v>20</v>
      </c>
      <c r="CY86" s="13">
        <v>400</v>
      </c>
      <c r="CZ86" s="13">
        <v>1</v>
      </c>
      <c r="DA86" s="14">
        <f t="shared" si="32"/>
        <v>1.7600000000000001E-2</v>
      </c>
      <c r="DB86" s="13"/>
      <c r="DC86" s="14"/>
      <c r="DD86" s="41"/>
      <c r="DF86" s="13">
        <v>15</v>
      </c>
      <c r="DG86" s="13">
        <v>33</v>
      </c>
      <c r="DH86" s="13">
        <v>400</v>
      </c>
      <c r="DI86" s="13">
        <v>4</v>
      </c>
      <c r="DJ86" s="14">
        <f t="shared" si="22"/>
        <v>0.79200000000000004</v>
      </c>
      <c r="DK86" s="13"/>
      <c r="DL86" s="14"/>
      <c r="DM86" s="41"/>
    </row>
    <row r="87" spans="2:117" ht="15.75" x14ac:dyDescent="0.25">
      <c r="B87" s="13">
        <v>10</v>
      </c>
      <c r="C87" s="13">
        <v>10</v>
      </c>
      <c r="D87" s="13">
        <v>400</v>
      </c>
      <c r="E87" s="13">
        <v>8</v>
      </c>
      <c r="F87" s="20">
        <f t="shared" si="28"/>
        <v>0.32</v>
      </c>
      <c r="G87" s="13">
        <f>SUM(E79:E87)</f>
        <v>44</v>
      </c>
      <c r="H87" s="14">
        <f>SUM(F79:F87)</f>
        <v>3.3839999999999999</v>
      </c>
      <c r="I87" s="13"/>
      <c r="K87" s="13">
        <v>15</v>
      </c>
      <c r="L87" s="13">
        <v>25</v>
      </c>
      <c r="M87" s="13">
        <v>400</v>
      </c>
      <c r="N87" s="13">
        <v>3</v>
      </c>
      <c r="O87" s="14">
        <f t="shared" si="29"/>
        <v>0.45</v>
      </c>
      <c r="P87" s="13"/>
      <c r="Q87" s="14"/>
      <c r="R87" s="13"/>
      <c r="T87" s="13">
        <v>4.5</v>
      </c>
      <c r="U87" s="13">
        <v>15</v>
      </c>
      <c r="V87" s="13">
        <v>400</v>
      </c>
      <c r="W87" s="13">
        <v>6</v>
      </c>
      <c r="X87" s="14">
        <f t="shared" si="24"/>
        <v>0.16200000000000001</v>
      </c>
      <c r="Y87" s="13"/>
      <c r="Z87" s="14"/>
      <c r="AA87" s="13"/>
      <c r="AC87" s="13">
        <v>4.5</v>
      </c>
      <c r="AD87" s="13">
        <v>18</v>
      </c>
      <c r="AE87" s="13">
        <v>400</v>
      </c>
      <c r="AF87" s="13">
        <v>1</v>
      </c>
      <c r="AG87" s="14">
        <f t="shared" si="26"/>
        <v>3.2399999999999998E-2</v>
      </c>
      <c r="AH87" s="13"/>
      <c r="AI87" s="14"/>
      <c r="AJ87" s="13"/>
      <c r="AL87" s="13">
        <v>7</v>
      </c>
      <c r="AM87" s="13">
        <v>23</v>
      </c>
      <c r="AN87" s="13">
        <v>400</v>
      </c>
      <c r="AO87" s="13">
        <v>2</v>
      </c>
      <c r="AP87" s="14">
        <f t="shared" si="31"/>
        <v>0.1288</v>
      </c>
      <c r="AQ87" s="13"/>
      <c r="AR87" s="14"/>
      <c r="AS87" s="13"/>
      <c r="AU87" s="28" t="s">
        <v>16</v>
      </c>
      <c r="AV87" s="27" t="s">
        <v>44</v>
      </c>
      <c r="AW87" s="26"/>
      <c r="AX87" s="26"/>
      <c r="AY87" s="26"/>
      <c r="AZ87" s="26"/>
      <c r="BA87" s="26"/>
      <c r="BB87" s="26"/>
      <c r="BD87" s="43"/>
      <c r="BE87" s="25"/>
      <c r="BF87" s="25"/>
      <c r="BG87" s="25"/>
      <c r="BH87" s="25"/>
      <c r="BI87" s="225" t="s">
        <v>103</v>
      </c>
      <c r="BJ87" s="225"/>
      <c r="BK87" s="225"/>
      <c r="BM87" s="13">
        <v>2</v>
      </c>
      <c r="BN87" s="13">
        <v>10</v>
      </c>
      <c r="BO87" s="13">
        <v>400</v>
      </c>
      <c r="BP87" s="13">
        <v>11</v>
      </c>
      <c r="BQ87" s="14">
        <f t="shared" si="27"/>
        <v>8.7999999999999995E-2</v>
      </c>
      <c r="BR87" s="13"/>
      <c r="BS87" s="14"/>
      <c r="BT87" s="13"/>
      <c r="BV87" s="13">
        <v>10</v>
      </c>
      <c r="BW87" s="13">
        <v>33</v>
      </c>
      <c r="BX87" s="13">
        <v>400</v>
      </c>
      <c r="BY87" s="13">
        <v>1</v>
      </c>
      <c r="BZ87" s="14">
        <f t="shared" si="33"/>
        <v>0.13200000000000001</v>
      </c>
      <c r="CA87" s="13"/>
      <c r="CB87" s="14"/>
      <c r="CC87" s="13"/>
      <c r="CE87" s="13">
        <v>2.2000000000000002</v>
      </c>
      <c r="CF87" s="13">
        <v>10</v>
      </c>
      <c r="CG87" s="13">
        <v>400</v>
      </c>
      <c r="CH87" s="13">
        <v>70</v>
      </c>
      <c r="CI87" s="14">
        <f t="shared" si="34"/>
        <v>0.61599999999999999</v>
      </c>
      <c r="CJ87" s="13"/>
      <c r="CK87" s="14"/>
      <c r="CL87" s="13"/>
      <c r="CN87" s="13">
        <v>4.5</v>
      </c>
      <c r="CO87" s="13">
        <v>13</v>
      </c>
      <c r="CP87" s="13">
        <v>400</v>
      </c>
      <c r="CQ87" s="13">
        <v>15</v>
      </c>
      <c r="CR87" s="14">
        <f t="shared" si="25"/>
        <v>0.35099999999999998</v>
      </c>
      <c r="CS87" s="13"/>
      <c r="CT87" s="14"/>
      <c r="CU87" s="41"/>
      <c r="CW87" s="13">
        <v>10</v>
      </c>
      <c r="CX87" s="13">
        <v>10</v>
      </c>
      <c r="CY87" s="13">
        <v>400</v>
      </c>
      <c r="CZ87" s="13">
        <v>1</v>
      </c>
      <c r="DA87" s="14">
        <f t="shared" si="32"/>
        <v>0.04</v>
      </c>
      <c r="DB87" s="13"/>
      <c r="DC87" s="14"/>
      <c r="DD87" s="41"/>
      <c r="DF87" s="13">
        <v>13</v>
      </c>
      <c r="DG87" s="13">
        <v>25</v>
      </c>
      <c r="DH87" s="13">
        <v>400</v>
      </c>
      <c r="DI87" s="13">
        <v>1</v>
      </c>
      <c r="DJ87" s="14">
        <f t="shared" si="22"/>
        <v>0.13</v>
      </c>
      <c r="DK87" s="13"/>
      <c r="DL87" s="14"/>
      <c r="DM87" s="41"/>
    </row>
    <row r="88" spans="2:117" ht="15.75" x14ac:dyDescent="0.25">
      <c r="B88" s="13">
        <v>8</v>
      </c>
      <c r="C88" s="13">
        <v>25</v>
      </c>
      <c r="D88" s="13">
        <v>400</v>
      </c>
      <c r="E88" s="13">
        <v>2</v>
      </c>
      <c r="F88" s="20">
        <f t="shared" si="28"/>
        <v>0.16</v>
      </c>
      <c r="G88" s="13"/>
      <c r="H88" s="14"/>
      <c r="I88" s="13"/>
      <c r="K88" s="13">
        <v>13</v>
      </c>
      <c r="L88" s="13">
        <v>25</v>
      </c>
      <c r="M88" s="13">
        <v>400</v>
      </c>
      <c r="N88" s="13">
        <v>3</v>
      </c>
      <c r="O88" s="14">
        <f t="shared" si="29"/>
        <v>0.39</v>
      </c>
      <c r="P88" s="13"/>
      <c r="Q88" s="14"/>
      <c r="R88" s="13"/>
      <c r="T88" s="13">
        <v>4.5</v>
      </c>
      <c r="U88" s="13">
        <v>13</v>
      </c>
      <c r="V88" s="13">
        <v>400</v>
      </c>
      <c r="W88" s="13">
        <v>7</v>
      </c>
      <c r="X88" s="14">
        <f t="shared" si="24"/>
        <v>0.1638</v>
      </c>
      <c r="Y88" s="13"/>
      <c r="Z88" s="14"/>
      <c r="AA88" s="13"/>
      <c r="AC88" s="13">
        <v>4.5</v>
      </c>
      <c r="AD88" s="13">
        <v>15</v>
      </c>
      <c r="AE88" s="13">
        <v>400</v>
      </c>
      <c r="AF88" s="13">
        <v>6</v>
      </c>
      <c r="AG88" s="14">
        <f t="shared" si="26"/>
        <v>0.16200000000000001</v>
      </c>
      <c r="AH88" s="13"/>
      <c r="AI88" s="14"/>
      <c r="AJ88" s="13"/>
      <c r="AL88" s="13">
        <v>7</v>
      </c>
      <c r="AM88" s="13">
        <v>20</v>
      </c>
      <c r="AN88" s="13">
        <v>400</v>
      </c>
      <c r="AO88" s="13">
        <v>1</v>
      </c>
      <c r="AP88" s="14">
        <f t="shared" si="31"/>
        <v>5.6000000000000001E-2</v>
      </c>
      <c r="AQ88" s="13">
        <f>SUM(AO87:AO88)</f>
        <v>3</v>
      </c>
      <c r="AR88" s="14">
        <f>SUM(AP87:AP88)</f>
        <v>0.18479999999999999</v>
      </c>
      <c r="AS88" s="13"/>
      <c r="AU88" s="43"/>
      <c r="AV88" s="25"/>
      <c r="AW88" s="25"/>
      <c r="AX88" s="25"/>
      <c r="AY88" s="25"/>
      <c r="AZ88" s="225" t="s">
        <v>92</v>
      </c>
      <c r="BA88" s="225"/>
      <c r="BB88" s="225"/>
      <c r="BD88" s="226" t="s">
        <v>13</v>
      </c>
      <c r="BE88" s="227"/>
      <c r="BF88" s="228"/>
      <c r="BG88" s="227" t="s">
        <v>12</v>
      </c>
      <c r="BH88" s="228"/>
      <c r="BI88" s="227" t="s">
        <v>12</v>
      </c>
      <c r="BJ88" s="228"/>
      <c r="BK88" s="229" t="s">
        <v>11</v>
      </c>
      <c r="BM88" s="13">
        <v>4</v>
      </c>
      <c r="BN88" s="13">
        <v>10</v>
      </c>
      <c r="BO88" s="13">
        <v>400</v>
      </c>
      <c r="BP88" s="13">
        <v>16</v>
      </c>
      <c r="BQ88" s="14">
        <f t="shared" si="27"/>
        <v>0.25600000000000001</v>
      </c>
      <c r="BR88" s="13"/>
      <c r="BS88" s="14"/>
      <c r="BT88" s="13"/>
      <c r="BV88" s="13">
        <v>13</v>
      </c>
      <c r="BW88" s="13">
        <v>30</v>
      </c>
      <c r="BX88" s="13">
        <v>400</v>
      </c>
      <c r="BY88" s="13">
        <v>5</v>
      </c>
      <c r="BZ88" s="14">
        <f t="shared" si="33"/>
        <v>0.78</v>
      </c>
      <c r="CA88" s="13"/>
      <c r="CB88" s="14"/>
      <c r="CC88" s="13"/>
      <c r="CE88" s="13">
        <v>3.5</v>
      </c>
      <c r="CF88" s="13">
        <v>10</v>
      </c>
      <c r="CG88" s="13">
        <v>400</v>
      </c>
      <c r="CH88" s="13">
        <v>19</v>
      </c>
      <c r="CI88" s="14">
        <f t="shared" si="34"/>
        <v>0.26600000000000001</v>
      </c>
      <c r="CJ88" s="13"/>
      <c r="CK88" s="14"/>
      <c r="CL88" s="13"/>
      <c r="CN88" s="13">
        <v>4.5</v>
      </c>
      <c r="CO88" s="13">
        <v>10</v>
      </c>
      <c r="CP88" s="13">
        <v>400</v>
      </c>
      <c r="CQ88" s="13">
        <v>185</v>
      </c>
      <c r="CR88" s="14">
        <f t="shared" si="25"/>
        <v>3.33</v>
      </c>
      <c r="CS88" s="13"/>
      <c r="CT88" s="14"/>
      <c r="CU88" s="41"/>
      <c r="CW88" s="13">
        <v>7</v>
      </c>
      <c r="CX88" s="13">
        <v>10</v>
      </c>
      <c r="CY88" s="13">
        <v>400</v>
      </c>
      <c r="CZ88" s="13">
        <v>5</v>
      </c>
      <c r="DA88" s="14">
        <f t="shared" si="32"/>
        <v>0.14000000000000001</v>
      </c>
      <c r="DB88" s="13"/>
      <c r="DC88" s="14"/>
      <c r="DD88" s="41"/>
      <c r="DF88" s="13">
        <v>10</v>
      </c>
      <c r="DG88" s="13">
        <v>33</v>
      </c>
      <c r="DH88" s="13">
        <v>400</v>
      </c>
      <c r="DI88" s="13">
        <v>1</v>
      </c>
      <c r="DJ88" s="14">
        <f t="shared" si="22"/>
        <v>0.13200000000000001</v>
      </c>
      <c r="DK88" s="13"/>
      <c r="DL88" s="14"/>
      <c r="DM88" s="41"/>
    </row>
    <row r="89" spans="2:117" ht="15.75" x14ac:dyDescent="0.25">
      <c r="B89" s="13">
        <v>8</v>
      </c>
      <c r="C89" s="13">
        <v>20</v>
      </c>
      <c r="D89" s="13">
        <v>400</v>
      </c>
      <c r="E89" s="13">
        <v>3</v>
      </c>
      <c r="F89" s="20">
        <f t="shared" si="28"/>
        <v>0.192</v>
      </c>
      <c r="G89" s="13"/>
      <c r="H89" s="14"/>
      <c r="I89" s="13"/>
      <c r="K89" s="13">
        <v>10</v>
      </c>
      <c r="L89" s="13">
        <v>25</v>
      </c>
      <c r="M89" s="13">
        <v>400</v>
      </c>
      <c r="N89" s="13">
        <v>2</v>
      </c>
      <c r="O89" s="14">
        <f t="shared" si="29"/>
        <v>0.2</v>
      </c>
      <c r="P89" s="13"/>
      <c r="Q89" s="14"/>
      <c r="R89" s="13"/>
      <c r="T89" s="13">
        <v>4.5</v>
      </c>
      <c r="U89" s="13">
        <v>10</v>
      </c>
      <c r="V89" s="13">
        <v>400</v>
      </c>
      <c r="W89" s="13">
        <v>38</v>
      </c>
      <c r="X89" s="14">
        <f t="shared" si="24"/>
        <v>0.68400000000000005</v>
      </c>
      <c r="Y89" s="13">
        <f>SUM(W86:W89)</f>
        <v>52</v>
      </c>
      <c r="Z89" s="14">
        <f>SUM(X86:X89)</f>
        <v>1.0422</v>
      </c>
      <c r="AA89" s="13"/>
      <c r="AC89" s="13">
        <v>4.5</v>
      </c>
      <c r="AD89" s="13">
        <v>13</v>
      </c>
      <c r="AE89" s="13">
        <v>400</v>
      </c>
      <c r="AF89" s="13">
        <v>8</v>
      </c>
      <c r="AG89" s="14">
        <f t="shared" si="26"/>
        <v>0.18720000000000001</v>
      </c>
      <c r="AH89" s="13"/>
      <c r="AI89" s="14"/>
      <c r="AJ89" s="13"/>
      <c r="AL89" s="122">
        <v>5</v>
      </c>
      <c r="AM89" s="122">
        <v>7</v>
      </c>
      <c r="AN89" s="122">
        <v>300</v>
      </c>
      <c r="AO89" s="122">
        <v>12</v>
      </c>
      <c r="AP89" s="123">
        <f t="shared" si="31"/>
        <v>0.126</v>
      </c>
      <c r="AQ89" s="122">
        <f t="shared" ref="AQ89:AR94" si="35">SUM(AO89)</f>
        <v>12</v>
      </c>
      <c r="AR89" s="123">
        <f t="shared" si="35"/>
        <v>0.126</v>
      </c>
      <c r="AS89" s="122"/>
      <c r="AU89" s="226" t="s">
        <v>13</v>
      </c>
      <c r="AV89" s="227"/>
      <c r="AW89" s="228"/>
      <c r="AX89" s="227" t="s">
        <v>12</v>
      </c>
      <c r="AY89" s="228"/>
      <c r="AZ89" s="227" t="s">
        <v>12</v>
      </c>
      <c r="BA89" s="228"/>
      <c r="BB89" s="229" t="s">
        <v>11</v>
      </c>
      <c r="BD89" s="24" t="s">
        <v>10</v>
      </c>
      <c r="BE89" s="23" t="s">
        <v>9</v>
      </c>
      <c r="BF89" s="23" t="s">
        <v>8</v>
      </c>
      <c r="BG89" s="22" t="s">
        <v>7</v>
      </c>
      <c r="BH89" s="21" t="s">
        <v>6</v>
      </c>
      <c r="BI89" s="22" t="s">
        <v>7</v>
      </c>
      <c r="BJ89" s="21" t="s">
        <v>6</v>
      </c>
      <c r="BK89" s="230"/>
      <c r="BM89" s="13">
        <v>3</v>
      </c>
      <c r="BN89" s="13">
        <v>10</v>
      </c>
      <c r="BO89" s="13">
        <v>400</v>
      </c>
      <c r="BP89" s="13">
        <v>4</v>
      </c>
      <c r="BQ89" s="14">
        <f t="shared" si="27"/>
        <v>4.8000000000000001E-2</v>
      </c>
      <c r="BR89" s="13"/>
      <c r="BS89" s="14"/>
      <c r="BT89" s="13"/>
      <c r="BV89" s="13">
        <v>10</v>
      </c>
      <c r="BW89" s="13">
        <v>30</v>
      </c>
      <c r="BX89" s="13">
        <v>400</v>
      </c>
      <c r="BY89" s="13">
        <v>8</v>
      </c>
      <c r="BZ89" s="14">
        <f t="shared" si="33"/>
        <v>0.96</v>
      </c>
      <c r="CA89" s="13"/>
      <c r="CB89" s="14"/>
      <c r="CC89" s="13"/>
      <c r="CE89" s="13">
        <v>7</v>
      </c>
      <c r="CF89" s="13">
        <v>10</v>
      </c>
      <c r="CG89" s="13">
        <v>400</v>
      </c>
      <c r="CH89" s="13">
        <v>7</v>
      </c>
      <c r="CI89" s="14">
        <f t="shared" si="34"/>
        <v>0.19600000000000001</v>
      </c>
      <c r="CJ89" s="13"/>
      <c r="CK89" s="14"/>
      <c r="CL89" s="13"/>
      <c r="CN89" s="13">
        <v>3.5</v>
      </c>
      <c r="CO89" s="13">
        <v>15</v>
      </c>
      <c r="CP89" s="13">
        <v>400</v>
      </c>
      <c r="CQ89" s="13">
        <v>5</v>
      </c>
      <c r="CR89" s="14">
        <f t="shared" si="25"/>
        <v>0.105</v>
      </c>
      <c r="CS89" s="37"/>
      <c r="CT89" s="36"/>
      <c r="CU89" s="41"/>
      <c r="CW89" s="13">
        <v>3.5</v>
      </c>
      <c r="CX89" s="13">
        <v>10</v>
      </c>
      <c r="CY89" s="13">
        <v>400</v>
      </c>
      <c r="CZ89" s="13">
        <v>2</v>
      </c>
      <c r="DA89" s="14">
        <f t="shared" si="32"/>
        <v>2.8000000000000001E-2</v>
      </c>
      <c r="DB89" s="13"/>
      <c r="DC89" s="14"/>
      <c r="DD89" s="41"/>
      <c r="DF89" s="13">
        <v>13</v>
      </c>
      <c r="DG89" s="13">
        <v>30</v>
      </c>
      <c r="DH89" s="13">
        <v>400</v>
      </c>
      <c r="DI89" s="13">
        <v>3</v>
      </c>
      <c r="DJ89" s="14">
        <f t="shared" si="22"/>
        <v>0.46800000000000003</v>
      </c>
      <c r="DK89" s="37"/>
      <c r="DL89" s="36"/>
      <c r="DM89" s="41"/>
    </row>
    <row r="90" spans="2:117" ht="15.75" x14ac:dyDescent="0.25">
      <c r="B90" s="13">
        <v>8</v>
      </c>
      <c r="C90" s="13">
        <v>15</v>
      </c>
      <c r="D90" s="13">
        <v>400</v>
      </c>
      <c r="E90" s="13">
        <v>5</v>
      </c>
      <c r="F90" s="20">
        <f t="shared" si="28"/>
        <v>0.24</v>
      </c>
      <c r="G90" s="13"/>
      <c r="H90" s="14"/>
      <c r="I90" s="13"/>
      <c r="K90" s="13">
        <v>8</v>
      </c>
      <c r="L90" s="13">
        <v>25</v>
      </c>
      <c r="M90" s="13">
        <v>400</v>
      </c>
      <c r="N90" s="13">
        <v>3</v>
      </c>
      <c r="O90" s="14">
        <f t="shared" si="29"/>
        <v>0.24</v>
      </c>
      <c r="P90" s="13"/>
      <c r="Q90" s="14"/>
      <c r="R90" s="13"/>
      <c r="T90" s="13">
        <v>3.5</v>
      </c>
      <c r="U90" s="13">
        <v>20</v>
      </c>
      <c r="V90" s="13">
        <v>400</v>
      </c>
      <c r="W90" s="13">
        <v>1</v>
      </c>
      <c r="X90" s="14">
        <f t="shared" si="24"/>
        <v>2.8000000000000001E-2</v>
      </c>
      <c r="Y90" s="13">
        <f>SUM(W90)</f>
        <v>1</v>
      </c>
      <c r="Z90" s="14">
        <f>SUM(X90)</f>
        <v>2.8000000000000001E-2</v>
      </c>
      <c r="AA90" s="13"/>
      <c r="AC90" s="13">
        <v>4.5</v>
      </c>
      <c r="AD90" s="13">
        <v>10</v>
      </c>
      <c r="AE90" s="13">
        <v>400</v>
      </c>
      <c r="AF90" s="13">
        <v>49</v>
      </c>
      <c r="AG90" s="14">
        <f t="shared" si="26"/>
        <v>0.88200000000000001</v>
      </c>
      <c r="AH90" s="13"/>
      <c r="AI90" s="14"/>
      <c r="AJ90" s="13"/>
      <c r="AL90" s="13">
        <v>4.5</v>
      </c>
      <c r="AM90" s="13">
        <v>25</v>
      </c>
      <c r="AN90" s="13">
        <v>400</v>
      </c>
      <c r="AO90" s="13">
        <v>1</v>
      </c>
      <c r="AP90" s="14">
        <f t="shared" si="31"/>
        <v>4.4999999999999998E-2</v>
      </c>
      <c r="AQ90" s="13">
        <f t="shared" si="35"/>
        <v>1</v>
      </c>
      <c r="AR90" s="14">
        <f t="shared" si="35"/>
        <v>4.4999999999999998E-2</v>
      </c>
      <c r="AS90" s="13"/>
      <c r="AU90" s="24" t="s">
        <v>10</v>
      </c>
      <c r="AV90" s="23" t="s">
        <v>9</v>
      </c>
      <c r="AW90" s="23" t="s">
        <v>8</v>
      </c>
      <c r="AX90" s="22" t="s">
        <v>7</v>
      </c>
      <c r="AY90" s="21" t="s">
        <v>6</v>
      </c>
      <c r="AZ90" s="22" t="s">
        <v>7</v>
      </c>
      <c r="BA90" s="21" t="s">
        <v>6</v>
      </c>
      <c r="BB90" s="230"/>
      <c r="BD90" s="13">
        <v>15</v>
      </c>
      <c r="BE90" s="13">
        <v>30</v>
      </c>
      <c r="BF90" s="13">
        <v>400</v>
      </c>
      <c r="BG90" s="13">
        <v>1</v>
      </c>
      <c r="BH90" s="14">
        <f t="shared" ref="BH90:BH133" si="36">BD90*BE90*BF90*BG90/1000000</f>
        <v>0.18</v>
      </c>
      <c r="BI90" s="13"/>
      <c r="BJ90" s="14"/>
      <c r="BK90" s="13"/>
      <c r="BM90" s="13">
        <v>8</v>
      </c>
      <c r="BN90" s="13">
        <v>10</v>
      </c>
      <c r="BO90" s="13">
        <v>400</v>
      </c>
      <c r="BP90" s="13">
        <v>1</v>
      </c>
      <c r="BQ90" s="14">
        <f t="shared" si="27"/>
        <v>3.2000000000000001E-2</v>
      </c>
      <c r="BR90" s="13"/>
      <c r="BS90" s="14"/>
      <c r="BT90" s="13"/>
      <c r="BV90" s="13">
        <v>8</v>
      </c>
      <c r="BW90" s="13">
        <v>25</v>
      </c>
      <c r="BX90" s="13">
        <v>400</v>
      </c>
      <c r="BY90" s="13">
        <v>1</v>
      </c>
      <c r="BZ90" s="14">
        <f t="shared" si="33"/>
        <v>0.08</v>
      </c>
      <c r="CA90" s="13"/>
      <c r="CB90" s="14"/>
      <c r="CC90" s="41"/>
      <c r="CE90" s="13">
        <v>1.7</v>
      </c>
      <c r="CF90" s="13">
        <v>10</v>
      </c>
      <c r="CG90" s="13">
        <v>400</v>
      </c>
      <c r="CH90" s="13">
        <v>6</v>
      </c>
      <c r="CI90" s="14">
        <f t="shared" si="34"/>
        <v>4.0800000000000003E-2</v>
      </c>
      <c r="CJ90" s="13"/>
      <c r="CK90" s="14"/>
      <c r="CL90" s="13"/>
      <c r="CN90" s="13">
        <v>3.5</v>
      </c>
      <c r="CO90" s="13">
        <v>10</v>
      </c>
      <c r="CP90" s="13">
        <v>400</v>
      </c>
      <c r="CQ90" s="13">
        <v>1</v>
      </c>
      <c r="CR90" s="14">
        <f t="shared" si="25"/>
        <v>1.4E-2</v>
      </c>
      <c r="CS90" s="13"/>
      <c r="CT90" s="14"/>
      <c r="CU90" s="13"/>
      <c r="CW90" s="13">
        <v>13</v>
      </c>
      <c r="CX90" s="13">
        <v>15</v>
      </c>
      <c r="CY90" s="13">
        <v>400</v>
      </c>
      <c r="CZ90" s="13">
        <v>1</v>
      </c>
      <c r="DA90" s="14">
        <f t="shared" si="32"/>
        <v>7.8E-2</v>
      </c>
      <c r="DB90" s="13"/>
      <c r="DC90" s="14"/>
      <c r="DD90" s="41"/>
      <c r="DF90" s="13">
        <v>13</v>
      </c>
      <c r="DG90" s="13">
        <v>33</v>
      </c>
      <c r="DH90" s="13">
        <v>400</v>
      </c>
      <c r="DI90" s="13">
        <v>4</v>
      </c>
      <c r="DJ90" s="14">
        <f t="shared" si="22"/>
        <v>0.68640000000000001</v>
      </c>
      <c r="DK90" s="13"/>
      <c r="DL90" s="14"/>
      <c r="DM90" s="13"/>
    </row>
    <row r="91" spans="2:117" ht="15.75" x14ac:dyDescent="0.25">
      <c r="B91" s="13">
        <v>8</v>
      </c>
      <c r="C91" s="13">
        <v>13</v>
      </c>
      <c r="D91" s="13">
        <v>400</v>
      </c>
      <c r="E91" s="13">
        <v>3</v>
      </c>
      <c r="F91" s="20">
        <f t="shared" si="28"/>
        <v>0.12479999999999999</v>
      </c>
      <c r="G91" s="13"/>
      <c r="H91" s="14"/>
      <c r="I91" s="13"/>
      <c r="K91" s="13">
        <v>1.7</v>
      </c>
      <c r="L91" s="13">
        <v>25</v>
      </c>
      <c r="M91" s="13">
        <v>400</v>
      </c>
      <c r="N91" s="13">
        <v>1</v>
      </c>
      <c r="O91" s="14">
        <f t="shared" si="29"/>
        <v>1.7000000000000001E-2</v>
      </c>
      <c r="P91" s="13"/>
      <c r="Q91" s="14"/>
      <c r="R91" s="13"/>
      <c r="T91" s="13">
        <v>2.2000000000000002</v>
      </c>
      <c r="U91" s="13">
        <v>30</v>
      </c>
      <c r="V91" s="13">
        <v>400</v>
      </c>
      <c r="W91" s="13">
        <v>1</v>
      </c>
      <c r="X91" s="14">
        <f t="shared" si="24"/>
        <v>2.64E-2</v>
      </c>
      <c r="Y91" s="13"/>
      <c r="Z91" s="14"/>
      <c r="AA91" s="13"/>
      <c r="AC91" s="122">
        <v>4</v>
      </c>
      <c r="AD91" s="122">
        <v>6</v>
      </c>
      <c r="AE91" s="122">
        <v>400</v>
      </c>
      <c r="AF91" s="122">
        <v>42</v>
      </c>
      <c r="AG91" s="123">
        <f t="shared" si="26"/>
        <v>0.4032</v>
      </c>
      <c r="AH91" s="122">
        <f>SUM(AF85:AF91)</f>
        <v>108</v>
      </c>
      <c r="AI91" s="123">
        <f>SUM(AG85:AG91)</f>
        <v>1.7478</v>
      </c>
      <c r="AJ91" s="122"/>
      <c r="AL91" s="13">
        <v>3.5</v>
      </c>
      <c r="AM91" s="13">
        <v>20</v>
      </c>
      <c r="AN91" s="13">
        <v>400</v>
      </c>
      <c r="AO91" s="13">
        <v>1</v>
      </c>
      <c r="AP91" s="14">
        <f t="shared" si="31"/>
        <v>2.8000000000000001E-2</v>
      </c>
      <c r="AQ91" s="13">
        <f t="shared" si="35"/>
        <v>1</v>
      </c>
      <c r="AR91" s="14">
        <f t="shared" si="35"/>
        <v>2.8000000000000001E-2</v>
      </c>
      <c r="AS91" s="13"/>
      <c r="AU91" s="13">
        <v>14</v>
      </c>
      <c r="AV91" s="13">
        <v>15</v>
      </c>
      <c r="AW91" s="13">
        <v>400</v>
      </c>
      <c r="AX91" s="13">
        <v>1</v>
      </c>
      <c r="AY91" s="14">
        <f t="shared" ref="AY91:AY132" si="37">AU91*AV91*AW91*AX91/1000000</f>
        <v>8.4000000000000005E-2</v>
      </c>
      <c r="AZ91" s="13"/>
      <c r="BA91" s="14"/>
      <c r="BB91" s="13"/>
      <c r="BD91" s="13">
        <v>10</v>
      </c>
      <c r="BE91" s="13">
        <v>30</v>
      </c>
      <c r="BF91" s="13">
        <v>400</v>
      </c>
      <c r="BG91" s="13">
        <v>5</v>
      </c>
      <c r="BH91" s="14">
        <f t="shared" si="36"/>
        <v>0.6</v>
      </c>
      <c r="BI91" s="13"/>
      <c r="BJ91" s="14"/>
      <c r="BK91" s="13"/>
      <c r="BM91" s="13">
        <v>8</v>
      </c>
      <c r="BN91" s="13">
        <v>12</v>
      </c>
      <c r="BO91" s="13">
        <v>400</v>
      </c>
      <c r="BP91" s="13">
        <v>1</v>
      </c>
      <c r="BQ91" s="14">
        <f t="shared" si="27"/>
        <v>3.8399999999999997E-2</v>
      </c>
      <c r="BR91" s="13"/>
      <c r="BS91" s="14"/>
      <c r="BT91" s="13"/>
      <c r="BV91" s="13">
        <v>2.2000000000000002</v>
      </c>
      <c r="BW91" s="13">
        <v>25</v>
      </c>
      <c r="BX91" s="13">
        <v>400</v>
      </c>
      <c r="BY91" s="13">
        <v>2</v>
      </c>
      <c r="BZ91" s="14">
        <f t="shared" si="33"/>
        <v>4.4000000000000004E-2</v>
      </c>
      <c r="CA91" s="13"/>
      <c r="CB91" s="14"/>
      <c r="CC91" s="13"/>
      <c r="CE91" s="13">
        <v>10</v>
      </c>
      <c r="CF91" s="13">
        <v>10</v>
      </c>
      <c r="CG91" s="13">
        <v>400</v>
      </c>
      <c r="CH91" s="13">
        <v>11</v>
      </c>
      <c r="CI91" s="14">
        <f t="shared" si="34"/>
        <v>0.44</v>
      </c>
      <c r="CJ91" s="13"/>
      <c r="CK91" s="14"/>
      <c r="CL91" s="41"/>
      <c r="CN91" s="13">
        <v>2.2000000000000002</v>
      </c>
      <c r="CO91" s="13">
        <v>15</v>
      </c>
      <c r="CP91" s="13">
        <v>400</v>
      </c>
      <c r="CQ91" s="13">
        <v>8</v>
      </c>
      <c r="CR91" s="14">
        <f t="shared" si="25"/>
        <v>0.1056</v>
      </c>
      <c r="CS91" s="13"/>
      <c r="CT91" s="14"/>
      <c r="CU91" s="13"/>
      <c r="CW91" s="13">
        <v>10</v>
      </c>
      <c r="CX91" s="13">
        <v>15</v>
      </c>
      <c r="CY91" s="13">
        <v>400</v>
      </c>
      <c r="CZ91" s="13">
        <v>3</v>
      </c>
      <c r="DA91" s="14">
        <f t="shared" si="32"/>
        <v>0.18</v>
      </c>
      <c r="DB91" s="13"/>
      <c r="DC91" s="14"/>
      <c r="DD91" s="41"/>
      <c r="DF91" s="13">
        <v>10</v>
      </c>
      <c r="DG91" s="13">
        <v>30</v>
      </c>
      <c r="DH91" s="13">
        <v>400</v>
      </c>
      <c r="DI91" s="13">
        <v>1</v>
      </c>
      <c r="DJ91" s="14">
        <f t="shared" si="22"/>
        <v>0.12</v>
      </c>
      <c r="DK91" s="13"/>
      <c r="DL91" s="14"/>
      <c r="DM91" s="13"/>
    </row>
    <row r="92" spans="2:117" ht="15.75" x14ac:dyDescent="0.25">
      <c r="B92" s="13">
        <v>8</v>
      </c>
      <c r="C92" s="13">
        <v>10</v>
      </c>
      <c r="D92" s="13">
        <v>400</v>
      </c>
      <c r="E92" s="13">
        <v>5</v>
      </c>
      <c r="F92" s="20">
        <f t="shared" si="28"/>
        <v>0.16</v>
      </c>
      <c r="G92" s="13">
        <f>SUM(E88:E92)</f>
        <v>18</v>
      </c>
      <c r="H92" s="14">
        <f>SUM(F88:F92)</f>
        <v>0.87680000000000002</v>
      </c>
      <c r="I92" s="13"/>
      <c r="K92" s="13">
        <v>4.5</v>
      </c>
      <c r="L92" s="13">
        <v>10</v>
      </c>
      <c r="M92" s="13">
        <v>400</v>
      </c>
      <c r="N92" s="13">
        <v>17</v>
      </c>
      <c r="O92" s="14">
        <f t="shared" si="29"/>
        <v>0.30599999999999999</v>
      </c>
      <c r="P92" s="13"/>
      <c r="Q92" s="14"/>
      <c r="R92" s="13"/>
      <c r="T92" s="13">
        <v>2.2000000000000002</v>
      </c>
      <c r="U92" s="13">
        <v>25</v>
      </c>
      <c r="V92" s="13">
        <v>400</v>
      </c>
      <c r="W92" s="13">
        <v>1</v>
      </c>
      <c r="X92" s="14">
        <f t="shared" si="24"/>
        <v>2.2000000000000002E-2</v>
      </c>
      <c r="Y92" s="13"/>
      <c r="Z92" s="14"/>
      <c r="AA92" s="13"/>
      <c r="AC92" s="13">
        <v>3.5</v>
      </c>
      <c r="AD92" s="13">
        <v>25</v>
      </c>
      <c r="AE92" s="13">
        <v>400</v>
      </c>
      <c r="AF92" s="13">
        <v>2</v>
      </c>
      <c r="AG92" s="14">
        <f t="shared" si="26"/>
        <v>7.0000000000000007E-2</v>
      </c>
      <c r="AH92" s="13"/>
      <c r="AI92" s="14"/>
      <c r="AJ92" s="13"/>
      <c r="AL92" s="122">
        <v>3</v>
      </c>
      <c r="AM92" s="122">
        <v>5</v>
      </c>
      <c r="AN92" s="122">
        <v>400</v>
      </c>
      <c r="AO92" s="122">
        <v>920</v>
      </c>
      <c r="AP92" s="123">
        <f t="shared" si="31"/>
        <v>5.52</v>
      </c>
      <c r="AQ92" s="122">
        <f t="shared" si="35"/>
        <v>920</v>
      </c>
      <c r="AR92" s="123">
        <f t="shared" si="35"/>
        <v>5.52</v>
      </c>
      <c r="AS92" s="122"/>
      <c r="AU92" s="13">
        <v>7</v>
      </c>
      <c r="AV92" s="13">
        <v>20</v>
      </c>
      <c r="AW92" s="13">
        <v>400</v>
      </c>
      <c r="AX92" s="13">
        <v>1</v>
      </c>
      <c r="AY92" s="14">
        <f t="shared" si="37"/>
        <v>5.6000000000000001E-2</v>
      </c>
      <c r="AZ92" s="13"/>
      <c r="BA92" s="14"/>
      <c r="BB92" s="13"/>
      <c r="BD92" s="13">
        <v>4.5</v>
      </c>
      <c r="BE92" s="13">
        <v>30</v>
      </c>
      <c r="BF92" s="13">
        <v>400</v>
      </c>
      <c r="BG92" s="13">
        <v>1</v>
      </c>
      <c r="BH92" s="14">
        <f t="shared" si="36"/>
        <v>5.3999999999999999E-2</v>
      </c>
      <c r="BI92" s="13"/>
      <c r="BJ92" s="14"/>
      <c r="BK92" s="13"/>
      <c r="BM92" s="57">
        <v>2</v>
      </c>
      <c r="BN92" s="57">
        <v>3</v>
      </c>
      <c r="BO92" s="57">
        <v>400</v>
      </c>
      <c r="BP92" s="57">
        <v>175</v>
      </c>
      <c r="BQ92" s="56">
        <f t="shared" si="27"/>
        <v>0.42</v>
      </c>
      <c r="BR92" s="57"/>
      <c r="BS92" s="56"/>
      <c r="BT92" s="57"/>
      <c r="BV92" s="13">
        <v>13</v>
      </c>
      <c r="BW92" s="13">
        <v>25</v>
      </c>
      <c r="BX92" s="13">
        <v>400</v>
      </c>
      <c r="BY92" s="13">
        <v>8</v>
      </c>
      <c r="BZ92" s="14">
        <f t="shared" si="33"/>
        <v>1.04</v>
      </c>
      <c r="CA92" s="13"/>
      <c r="CB92" s="14"/>
      <c r="CC92" s="13"/>
      <c r="CE92" s="13">
        <v>8</v>
      </c>
      <c r="CF92" s="13">
        <v>10</v>
      </c>
      <c r="CG92" s="13">
        <v>400</v>
      </c>
      <c r="CH92" s="13">
        <v>1</v>
      </c>
      <c r="CI92" s="14">
        <f t="shared" si="34"/>
        <v>3.2000000000000001E-2</v>
      </c>
      <c r="CJ92" s="13"/>
      <c r="CK92" s="14"/>
      <c r="CL92" s="41"/>
      <c r="CN92" s="13">
        <v>2.2000000000000002</v>
      </c>
      <c r="CO92" s="13">
        <v>13</v>
      </c>
      <c r="CP92" s="13">
        <v>400</v>
      </c>
      <c r="CQ92" s="13">
        <v>1</v>
      </c>
      <c r="CR92" s="14">
        <f t="shared" si="25"/>
        <v>1.1440000000000001E-2</v>
      </c>
      <c r="CS92" s="13"/>
      <c r="CT92" s="14"/>
      <c r="CU92" s="13"/>
      <c r="CW92" s="13">
        <v>7</v>
      </c>
      <c r="CX92" s="13">
        <v>15</v>
      </c>
      <c r="CY92" s="13">
        <v>400</v>
      </c>
      <c r="CZ92" s="13">
        <v>2</v>
      </c>
      <c r="DA92" s="14">
        <f t="shared" si="32"/>
        <v>8.4000000000000005E-2</v>
      </c>
      <c r="DB92" s="13"/>
      <c r="DC92" s="14"/>
      <c r="DD92" s="41"/>
      <c r="DF92" s="13">
        <v>10</v>
      </c>
      <c r="DG92" s="13">
        <v>28</v>
      </c>
      <c r="DH92" s="13">
        <v>400</v>
      </c>
      <c r="DI92" s="13">
        <v>1</v>
      </c>
      <c r="DJ92" s="14">
        <f t="shared" si="22"/>
        <v>0.112</v>
      </c>
      <c r="DK92" s="13"/>
      <c r="DL92" s="14"/>
      <c r="DM92" s="13"/>
    </row>
    <row r="93" spans="2:117" ht="15.75" x14ac:dyDescent="0.25">
      <c r="B93" s="13">
        <v>5</v>
      </c>
      <c r="C93" s="13">
        <v>20</v>
      </c>
      <c r="D93" s="13">
        <v>400</v>
      </c>
      <c r="E93" s="13">
        <v>2</v>
      </c>
      <c r="F93" s="20">
        <f t="shared" si="28"/>
        <v>0.08</v>
      </c>
      <c r="G93" s="13"/>
      <c r="H93" s="14"/>
      <c r="I93" s="13"/>
      <c r="K93" s="13">
        <v>4.2</v>
      </c>
      <c r="L93" s="13">
        <v>10</v>
      </c>
      <c r="M93" s="13">
        <v>400</v>
      </c>
      <c r="N93" s="13">
        <v>85</v>
      </c>
      <c r="O93" s="14">
        <f t="shared" si="29"/>
        <v>1.4279999999999999</v>
      </c>
      <c r="P93" s="13"/>
      <c r="Q93" s="14"/>
      <c r="R93" s="13"/>
      <c r="T93" s="13">
        <v>2.2000000000000002</v>
      </c>
      <c r="U93" s="13">
        <v>18</v>
      </c>
      <c r="V93" s="13">
        <v>400</v>
      </c>
      <c r="W93" s="13">
        <v>3</v>
      </c>
      <c r="X93" s="14">
        <f t="shared" si="24"/>
        <v>4.752E-2</v>
      </c>
      <c r="Y93" s="13"/>
      <c r="Z93" s="14"/>
      <c r="AA93" s="13"/>
      <c r="AC93" s="13">
        <v>3.5</v>
      </c>
      <c r="AD93" s="13">
        <v>18</v>
      </c>
      <c r="AE93" s="13">
        <v>400</v>
      </c>
      <c r="AF93" s="13">
        <v>1</v>
      </c>
      <c r="AG93" s="14">
        <f t="shared" si="26"/>
        <v>2.52E-2</v>
      </c>
      <c r="AH93" s="13"/>
      <c r="AI93" s="14"/>
      <c r="AJ93" s="13"/>
      <c r="AL93" s="13">
        <v>2.2000000000000002</v>
      </c>
      <c r="AM93" s="13">
        <v>20</v>
      </c>
      <c r="AN93" s="13">
        <v>400</v>
      </c>
      <c r="AO93" s="13">
        <v>2</v>
      </c>
      <c r="AP93" s="14">
        <f t="shared" si="31"/>
        <v>3.5200000000000002E-2</v>
      </c>
      <c r="AQ93" s="13">
        <f t="shared" si="35"/>
        <v>2</v>
      </c>
      <c r="AR93" s="14">
        <f t="shared" si="35"/>
        <v>3.5200000000000002E-2</v>
      </c>
      <c r="AS93" s="13"/>
      <c r="AU93" s="13">
        <v>15</v>
      </c>
      <c r="AV93" s="13">
        <v>30</v>
      </c>
      <c r="AW93" s="13">
        <v>400</v>
      </c>
      <c r="AX93" s="13">
        <v>1</v>
      </c>
      <c r="AY93" s="14">
        <f t="shared" si="37"/>
        <v>0.18</v>
      </c>
      <c r="AZ93" s="13"/>
      <c r="BA93" s="14"/>
      <c r="BB93" s="13"/>
      <c r="BD93" s="13">
        <v>4.5</v>
      </c>
      <c r="BE93" s="13">
        <v>20</v>
      </c>
      <c r="BF93" s="13">
        <v>400</v>
      </c>
      <c r="BG93" s="13">
        <v>7</v>
      </c>
      <c r="BH93" s="14">
        <f t="shared" si="36"/>
        <v>0.252</v>
      </c>
      <c r="BI93" s="13"/>
      <c r="BJ93" s="14"/>
      <c r="BK93" s="13"/>
      <c r="BM93" s="57">
        <v>4</v>
      </c>
      <c r="BN93" s="57">
        <v>6</v>
      </c>
      <c r="BO93" s="57">
        <v>400</v>
      </c>
      <c r="BP93" s="57">
        <v>30</v>
      </c>
      <c r="BQ93" s="56">
        <f t="shared" si="27"/>
        <v>0.28799999999999998</v>
      </c>
      <c r="BR93" s="57"/>
      <c r="BS93" s="56"/>
      <c r="BT93" s="57"/>
      <c r="BV93" s="13">
        <v>15</v>
      </c>
      <c r="BW93" s="13">
        <v>20</v>
      </c>
      <c r="BX93" s="13">
        <v>400</v>
      </c>
      <c r="BY93" s="13">
        <v>6</v>
      </c>
      <c r="BZ93" s="14">
        <f t="shared" si="33"/>
        <v>0.72</v>
      </c>
      <c r="CA93" s="13"/>
      <c r="CB93" s="14"/>
      <c r="CC93" s="13"/>
      <c r="CE93" s="13">
        <v>8</v>
      </c>
      <c r="CF93" s="13">
        <v>20</v>
      </c>
      <c r="CG93" s="13">
        <v>400</v>
      </c>
      <c r="CH93" s="13">
        <v>1</v>
      </c>
      <c r="CI93" s="14">
        <f t="shared" si="34"/>
        <v>6.4000000000000001E-2</v>
      </c>
      <c r="CJ93" s="13"/>
      <c r="CK93" s="14"/>
      <c r="CL93" s="41"/>
      <c r="CN93" s="13">
        <v>2.2000000000000002</v>
      </c>
      <c r="CO93" s="13">
        <v>10</v>
      </c>
      <c r="CP93" s="13">
        <v>400</v>
      </c>
      <c r="CQ93" s="13">
        <v>76</v>
      </c>
      <c r="CR93" s="14">
        <f t="shared" si="25"/>
        <v>0.66879999999999995</v>
      </c>
      <c r="CS93" s="13"/>
      <c r="CT93" s="14"/>
      <c r="CU93" s="13"/>
      <c r="CW93" s="13">
        <v>10</v>
      </c>
      <c r="CX93" s="13">
        <v>10</v>
      </c>
      <c r="CY93" s="13">
        <v>300</v>
      </c>
      <c r="CZ93" s="13">
        <v>1</v>
      </c>
      <c r="DA93" s="14">
        <f t="shared" si="32"/>
        <v>0.03</v>
      </c>
      <c r="DB93" s="13"/>
      <c r="DC93" s="96"/>
      <c r="DD93" s="41"/>
      <c r="DF93" s="13">
        <v>13</v>
      </c>
      <c r="DG93" s="13">
        <v>20</v>
      </c>
      <c r="DH93" s="13">
        <v>400</v>
      </c>
      <c r="DI93" s="13">
        <v>2</v>
      </c>
      <c r="DJ93" s="14">
        <f t="shared" si="22"/>
        <v>0.20799999999999999</v>
      </c>
      <c r="DK93" s="13"/>
      <c r="DL93" s="14"/>
      <c r="DM93" s="13"/>
    </row>
    <row r="94" spans="2:117" ht="15.75" x14ac:dyDescent="0.25">
      <c r="B94" s="13">
        <v>5</v>
      </c>
      <c r="C94" s="13">
        <v>15</v>
      </c>
      <c r="D94" s="13">
        <v>400</v>
      </c>
      <c r="E94" s="13">
        <v>3</v>
      </c>
      <c r="F94" s="20">
        <f t="shared" si="28"/>
        <v>0.09</v>
      </c>
      <c r="G94" s="13">
        <f>SUM(E93:E94)</f>
        <v>5</v>
      </c>
      <c r="H94" s="14">
        <f>SUM(F93:F94)</f>
        <v>0.16999999999999998</v>
      </c>
      <c r="I94" s="13"/>
      <c r="K94" s="13">
        <v>1.7</v>
      </c>
      <c r="L94" s="13">
        <v>10</v>
      </c>
      <c r="M94" s="13">
        <v>400</v>
      </c>
      <c r="N94" s="13">
        <v>61</v>
      </c>
      <c r="O94" s="14">
        <f t="shared" si="29"/>
        <v>0.4148</v>
      </c>
      <c r="P94" s="13"/>
      <c r="Q94" s="14"/>
      <c r="R94" s="13"/>
      <c r="T94" s="13">
        <v>2.2000000000000002</v>
      </c>
      <c r="U94" s="13">
        <v>15</v>
      </c>
      <c r="V94" s="13">
        <v>400</v>
      </c>
      <c r="W94" s="13">
        <v>10</v>
      </c>
      <c r="X94" s="14">
        <f t="shared" si="24"/>
        <v>0.13200000000000001</v>
      </c>
      <c r="Y94" s="13"/>
      <c r="Z94" s="14"/>
      <c r="AA94" s="13"/>
      <c r="AC94" s="13">
        <v>3.5</v>
      </c>
      <c r="AD94" s="13">
        <v>15</v>
      </c>
      <c r="AE94" s="13">
        <v>400</v>
      </c>
      <c r="AF94" s="13">
        <v>6</v>
      </c>
      <c r="AG94" s="14">
        <f t="shared" si="26"/>
        <v>0.126</v>
      </c>
      <c r="AH94" s="13"/>
      <c r="AI94" s="14"/>
      <c r="AJ94" s="13"/>
      <c r="AL94" s="122">
        <v>2</v>
      </c>
      <c r="AM94" s="122">
        <v>3</v>
      </c>
      <c r="AN94" s="122">
        <v>400</v>
      </c>
      <c r="AO94" s="122">
        <v>1175</v>
      </c>
      <c r="AP94" s="123">
        <f t="shared" si="31"/>
        <v>2.82</v>
      </c>
      <c r="AQ94" s="122">
        <f t="shared" si="35"/>
        <v>1175</v>
      </c>
      <c r="AR94" s="123">
        <f t="shared" si="35"/>
        <v>2.82</v>
      </c>
      <c r="AS94" s="122"/>
      <c r="AU94" s="13">
        <v>12</v>
      </c>
      <c r="AV94" s="13">
        <v>25</v>
      </c>
      <c r="AW94" s="13">
        <v>400</v>
      </c>
      <c r="AX94" s="13">
        <v>3</v>
      </c>
      <c r="AY94" s="14">
        <f t="shared" si="37"/>
        <v>0.36</v>
      </c>
      <c r="AZ94" s="13"/>
      <c r="BA94" s="14"/>
      <c r="BB94" s="13"/>
      <c r="BD94" s="13">
        <v>2.2000000000000002</v>
      </c>
      <c r="BE94" s="13">
        <v>20</v>
      </c>
      <c r="BF94" s="13">
        <v>400</v>
      </c>
      <c r="BG94" s="13">
        <v>3</v>
      </c>
      <c r="BH94" s="14">
        <f t="shared" si="36"/>
        <v>5.28E-2</v>
      </c>
      <c r="BI94" s="13"/>
      <c r="BJ94" s="14"/>
      <c r="BK94" s="13"/>
      <c r="BM94" s="57">
        <v>4</v>
      </c>
      <c r="BN94" s="57">
        <v>6</v>
      </c>
      <c r="BO94" s="57">
        <v>300</v>
      </c>
      <c r="BP94" s="57">
        <v>6</v>
      </c>
      <c r="BQ94" s="56">
        <f>BM94*BN94*BO94*BP94/1000000</f>
        <v>4.3200000000000002E-2</v>
      </c>
      <c r="BR94" s="57"/>
      <c r="BS94" s="56"/>
      <c r="BT94" s="57"/>
      <c r="BV94" s="13">
        <v>13</v>
      </c>
      <c r="BW94" s="13">
        <v>20</v>
      </c>
      <c r="BX94" s="13">
        <v>400</v>
      </c>
      <c r="BY94" s="13">
        <v>12</v>
      </c>
      <c r="BZ94" s="14">
        <f t="shared" si="33"/>
        <v>1.248</v>
      </c>
      <c r="CA94" s="13"/>
      <c r="CB94" s="14"/>
      <c r="CC94" s="41"/>
      <c r="CE94" s="13">
        <v>13</v>
      </c>
      <c r="CF94" s="13">
        <v>25</v>
      </c>
      <c r="CG94" s="13">
        <v>400</v>
      </c>
      <c r="CH94" s="13">
        <v>1</v>
      </c>
      <c r="CI94" s="14">
        <f t="shared" si="34"/>
        <v>0.13</v>
      </c>
      <c r="CJ94" s="13"/>
      <c r="CK94" s="14"/>
      <c r="CL94" s="41"/>
      <c r="CN94" s="13">
        <v>1.7</v>
      </c>
      <c r="CO94" s="13">
        <v>10</v>
      </c>
      <c r="CP94" s="13">
        <v>400</v>
      </c>
      <c r="CQ94" s="13">
        <v>2</v>
      </c>
      <c r="CR94" s="14">
        <f t="shared" si="25"/>
        <v>1.3599999999999999E-2</v>
      </c>
      <c r="CS94" s="13"/>
      <c r="CT94" s="14"/>
      <c r="CU94" s="13"/>
      <c r="CW94" s="61">
        <v>4.5</v>
      </c>
      <c r="CX94" s="61">
        <v>15</v>
      </c>
      <c r="CY94" s="13">
        <v>400</v>
      </c>
      <c r="CZ94" s="61">
        <v>3</v>
      </c>
      <c r="DA94" s="63">
        <f t="shared" si="32"/>
        <v>8.1000000000000003E-2</v>
      </c>
      <c r="DB94" s="61">
        <f>SUM(CZ77:CZ94)</f>
        <v>45</v>
      </c>
      <c r="DC94" s="193">
        <f>SUM(DA77:DA94)</f>
        <v>1.6158000000000001</v>
      </c>
      <c r="DD94" s="70" t="s">
        <v>23</v>
      </c>
      <c r="DF94" s="61">
        <v>3.5</v>
      </c>
      <c r="DG94" s="61">
        <v>20</v>
      </c>
      <c r="DH94" s="13">
        <v>400</v>
      </c>
      <c r="DI94" s="61">
        <v>6</v>
      </c>
      <c r="DJ94" s="63">
        <f t="shared" si="22"/>
        <v>0.16800000000000001</v>
      </c>
      <c r="DK94" s="13"/>
      <c r="DL94" s="14"/>
      <c r="DM94" s="13"/>
    </row>
    <row r="95" spans="2:117" ht="16.5" thickBot="1" x14ac:dyDescent="0.3">
      <c r="B95" s="13">
        <v>4</v>
      </c>
      <c r="C95" s="13">
        <v>10</v>
      </c>
      <c r="D95" s="13">
        <v>400</v>
      </c>
      <c r="E95" s="13">
        <v>149</v>
      </c>
      <c r="F95" s="20">
        <f t="shared" si="28"/>
        <v>2.3839999999999999</v>
      </c>
      <c r="G95" s="13"/>
      <c r="H95" s="14"/>
      <c r="I95" s="13"/>
      <c r="K95" s="13">
        <v>2.2000000000000002</v>
      </c>
      <c r="L95" s="13">
        <v>10</v>
      </c>
      <c r="M95" s="13">
        <v>400</v>
      </c>
      <c r="N95" s="13">
        <v>5</v>
      </c>
      <c r="O95" s="14">
        <f t="shared" si="29"/>
        <v>4.3999999999999997E-2</v>
      </c>
      <c r="P95" s="13"/>
      <c r="Q95" s="14"/>
      <c r="R95" s="13"/>
      <c r="T95" s="13">
        <v>2.2000000000000002</v>
      </c>
      <c r="U95" s="13">
        <v>13</v>
      </c>
      <c r="V95" s="13">
        <v>400</v>
      </c>
      <c r="W95" s="13">
        <v>6</v>
      </c>
      <c r="X95" s="14">
        <f t="shared" si="24"/>
        <v>6.8640000000000007E-2</v>
      </c>
      <c r="Y95" s="13"/>
      <c r="Z95" s="14"/>
      <c r="AA95" s="13"/>
      <c r="AC95" s="13">
        <v>3.5</v>
      </c>
      <c r="AD95" s="13">
        <v>13</v>
      </c>
      <c r="AE95" s="13">
        <v>400</v>
      </c>
      <c r="AF95" s="13">
        <v>2</v>
      </c>
      <c r="AG95" s="14">
        <f t="shared" si="26"/>
        <v>3.6400000000000002E-2</v>
      </c>
      <c r="AH95" s="13"/>
      <c r="AI95" s="14"/>
      <c r="AJ95" s="13"/>
      <c r="AL95" s="237"/>
      <c r="AM95" s="237"/>
      <c r="AN95" s="238"/>
      <c r="AO95" s="17">
        <f>SUM(AO76:AO94)</f>
        <v>2145</v>
      </c>
      <c r="AP95" s="32">
        <f>SUM(AP76:AP94)</f>
        <v>12.211400000000001</v>
      </c>
      <c r="AQ95" s="17">
        <f>SUM(AQ76:AQ94)</f>
        <v>2145</v>
      </c>
      <c r="AR95" s="32">
        <f>SUM(AR76:AR94)</f>
        <v>12.211399999999999</v>
      </c>
      <c r="AS95" s="17"/>
      <c r="AU95" s="13">
        <v>15</v>
      </c>
      <c r="AV95" s="13">
        <v>25</v>
      </c>
      <c r="AW95" s="13">
        <v>400</v>
      </c>
      <c r="AX95" s="13">
        <v>1</v>
      </c>
      <c r="AY95" s="14">
        <f t="shared" si="37"/>
        <v>0.15</v>
      </c>
      <c r="AZ95" s="13"/>
      <c r="BA95" s="14"/>
      <c r="BB95" s="13"/>
      <c r="BD95" s="13">
        <v>8</v>
      </c>
      <c r="BE95" s="13">
        <v>20</v>
      </c>
      <c r="BF95" s="13">
        <v>400</v>
      </c>
      <c r="BG95" s="13">
        <v>6</v>
      </c>
      <c r="BH95" s="14">
        <f t="shared" si="36"/>
        <v>0.38400000000000001</v>
      </c>
      <c r="BI95" s="13"/>
      <c r="BJ95" s="14"/>
      <c r="BK95" s="41"/>
      <c r="BM95" s="57">
        <v>3</v>
      </c>
      <c r="BN95" s="57">
        <v>5</v>
      </c>
      <c r="BO95" s="57">
        <v>400</v>
      </c>
      <c r="BP95" s="57">
        <v>90</v>
      </c>
      <c r="BQ95" s="56">
        <f t="shared" si="27"/>
        <v>0.54</v>
      </c>
      <c r="BR95" s="57"/>
      <c r="BS95" s="56"/>
      <c r="BT95" s="57"/>
      <c r="BV95" s="13">
        <v>3.5</v>
      </c>
      <c r="BW95" s="13">
        <v>20</v>
      </c>
      <c r="BX95" s="13">
        <v>400</v>
      </c>
      <c r="BY95" s="13">
        <v>2</v>
      </c>
      <c r="BZ95" s="14">
        <f t="shared" si="33"/>
        <v>5.6000000000000001E-2</v>
      </c>
      <c r="CA95" s="13"/>
      <c r="CB95" s="14"/>
      <c r="CC95" s="13"/>
      <c r="CE95" s="13">
        <v>15</v>
      </c>
      <c r="CF95" s="13">
        <v>25</v>
      </c>
      <c r="CG95" s="13">
        <v>400</v>
      </c>
      <c r="CH95" s="13">
        <v>1</v>
      </c>
      <c r="CI95" s="14">
        <f t="shared" si="34"/>
        <v>0.15</v>
      </c>
      <c r="CJ95" s="13"/>
      <c r="CK95" s="14"/>
      <c r="CL95" s="41"/>
      <c r="CN95" s="122">
        <v>5</v>
      </c>
      <c r="CO95" s="122">
        <v>7</v>
      </c>
      <c r="CP95" s="122">
        <v>400</v>
      </c>
      <c r="CQ95" s="122">
        <v>164</v>
      </c>
      <c r="CR95" s="123">
        <f t="shared" si="25"/>
        <v>2.2959999999999998</v>
      </c>
      <c r="CS95" s="122"/>
      <c r="CT95" s="123"/>
      <c r="CU95" s="126"/>
      <c r="CW95" s="122">
        <v>3</v>
      </c>
      <c r="CX95" s="122">
        <v>5</v>
      </c>
      <c r="CY95" s="122">
        <v>400</v>
      </c>
      <c r="CZ95" s="122">
        <v>140</v>
      </c>
      <c r="DA95" s="123">
        <f>CW95*CX95*CY95*CZ95/1000000</f>
        <v>0.84</v>
      </c>
      <c r="DB95" s="122"/>
      <c r="DC95" s="123"/>
      <c r="DD95" s="126"/>
      <c r="DF95" s="13">
        <v>10</v>
      </c>
      <c r="DG95" s="13">
        <v>20</v>
      </c>
      <c r="DH95" s="13">
        <v>400</v>
      </c>
      <c r="DI95" s="13">
        <v>7</v>
      </c>
      <c r="DJ95" s="14">
        <f t="shared" si="22"/>
        <v>0.56000000000000005</v>
      </c>
      <c r="DK95" s="13"/>
      <c r="DL95" s="14"/>
      <c r="DM95" s="13"/>
    </row>
    <row r="96" spans="2:117" ht="16.5" thickTop="1" x14ac:dyDescent="0.25">
      <c r="B96" s="13">
        <v>4</v>
      </c>
      <c r="C96" s="13">
        <v>10</v>
      </c>
      <c r="D96" s="13">
        <v>300</v>
      </c>
      <c r="E96" s="13">
        <v>3</v>
      </c>
      <c r="F96" s="20">
        <f t="shared" si="28"/>
        <v>3.5999999999999997E-2</v>
      </c>
      <c r="G96" s="13"/>
      <c r="H96" s="14"/>
      <c r="I96" s="13"/>
      <c r="K96" s="13">
        <v>4.5</v>
      </c>
      <c r="L96" s="13">
        <v>20</v>
      </c>
      <c r="M96" s="13">
        <v>400</v>
      </c>
      <c r="N96" s="13">
        <v>2</v>
      </c>
      <c r="O96" s="14">
        <f t="shared" si="29"/>
        <v>7.1999999999999995E-2</v>
      </c>
      <c r="P96" s="13">
        <f>SUM(N87:N96)</f>
        <v>182</v>
      </c>
      <c r="Q96" s="14">
        <f>SUM(O87:O96)</f>
        <v>3.5617999999999999</v>
      </c>
      <c r="R96" s="13"/>
      <c r="T96" s="13">
        <v>2.2000000000000002</v>
      </c>
      <c r="U96" s="13">
        <v>10</v>
      </c>
      <c r="V96" s="13">
        <v>400</v>
      </c>
      <c r="W96" s="13">
        <v>52</v>
      </c>
      <c r="X96" s="14">
        <f t="shared" si="24"/>
        <v>0.45760000000000001</v>
      </c>
      <c r="Y96" s="13"/>
      <c r="Z96" s="14"/>
      <c r="AA96" s="13"/>
      <c r="AC96" s="13">
        <v>3.5</v>
      </c>
      <c r="AD96" s="13">
        <v>10</v>
      </c>
      <c r="AE96" s="13">
        <v>400</v>
      </c>
      <c r="AF96" s="13">
        <v>23</v>
      </c>
      <c r="AG96" s="14">
        <f t="shared" si="26"/>
        <v>0.32200000000000001</v>
      </c>
      <c r="AH96" s="13">
        <f>SUM(AF92:AF96)</f>
        <v>34</v>
      </c>
      <c r="AI96" s="14">
        <f>SUM(AG92:AG96)</f>
        <v>0.5796</v>
      </c>
      <c r="AJ96" s="13"/>
      <c r="AU96" s="13">
        <v>10</v>
      </c>
      <c r="AV96" s="13">
        <v>25</v>
      </c>
      <c r="AW96" s="13">
        <v>400</v>
      </c>
      <c r="AX96" s="13">
        <v>2</v>
      </c>
      <c r="AY96" s="14">
        <f t="shared" si="37"/>
        <v>0.2</v>
      </c>
      <c r="AZ96" s="13"/>
      <c r="BA96" s="14"/>
      <c r="BB96" s="13"/>
      <c r="BD96" s="13">
        <v>13</v>
      </c>
      <c r="BE96" s="13">
        <v>25</v>
      </c>
      <c r="BF96" s="13">
        <v>400</v>
      </c>
      <c r="BG96" s="13">
        <v>4</v>
      </c>
      <c r="BH96" s="14">
        <f t="shared" si="36"/>
        <v>0.52</v>
      </c>
      <c r="BI96" s="13"/>
      <c r="BJ96" s="14"/>
      <c r="BK96" s="13"/>
      <c r="BM96" s="57">
        <v>5</v>
      </c>
      <c r="BN96" s="57">
        <v>7</v>
      </c>
      <c r="BO96" s="57">
        <v>400</v>
      </c>
      <c r="BP96" s="57">
        <v>32</v>
      </c>
      <c r="BQ96" s="156">
        <f>BM96*BN96*BO96*BP96/1000000</f>
        <v>0.44800000000000001</v>
      </c>
      <c r="BR96" s="159">
        <f>SUM(BP67:BP96)</f>
        <v>432</v>
      </c>
      <c r="BS96" s="172">
        <f>SUM(BQ67:BQ96)</f>
        <v>4.4960000000000004</v>
      </c>
      <c r="BT96" s="140" t="s">
        <v>21</v>
      </c>
      <c r="BV96" s="13">
        <v>8</v>
      </c>
      <c r="BW96" s="13">
        <v>20</v>
      </c>
      <c r="BX96" s="13">
        <v>400</v>
      </c>
      <c r="BY96" s="13">
        <v>1</v>
      </c>
      <c r="BZ96" s="14">
        <f t="shared" si="33"/>
        <v>6.4000000000000001E-2</v>
      </c>
      <c r="CA96" s="13"/>
      <c r="CB96" s="14"/>
      <c r="CC96" s="41"/>
      <c r="CE96" s="13">
        <v>4.5</v>
      </c>
      <c r="CF96" s="13">
        <v>25</v>
      </c>
      <c r="CG96" s="13">
        <v>400</v>
      </c>
      <c r="CH96" s="13">
        <v>1</v>
      </c>
      <c r="CI96" s="14">
        <f t="shared" si="34"/>
        <v>4.4999999999999998E-2</v>
      </c>
      <c r="CJ96" s="13"/>
      <c r="CK96" s="14"/>
      <c r="CL96" s="41"/>
      <c r="CN96" s="122">
        <v>4</v>
      </c>
      <c r="CO96" s="122">
        <v>6</v>
      </c>
      <c r="CP96" s="122">
        <v>400</v>
      </c>
      <c r="CQ96" s="122">
        <v>42</v>
      </c>
      <c r="CR96" s="123">
        <f t="shared" si="25"/>
        <v>0.4032</v>
      </c>
      <c r="CS96" s="122"/>
      <c r="CT96" s="123"/>
      <c r="CU96" s="126"/>
      <c r="CW96" s="122">
        <v>5</v>
      </c>
      <c r="CX96" s="122">
        <v>7</v>
      </c>
      <c r="CY96" s="122">
        <v>400</v>
      </c>
      <c r="CZ96" s="122">
        <v>80</v>
      </c>
      <c r="DA96" s="123">
        <f>CW96*CX96*CY96*CZ96/1000000</f>
        <v>1.1200000000000001</v>
      </c>
      <c r="DB96" s="122"/>
      <c r="DC96" s="123"/>
      <c r="DD96" s="126"/>
      <c r="DF96" s="13">
        <v>4.5</v>
      </c>
      <c r="DG96" s="13">
        <v>20</v>
      </c>
      <c r="DH96" s="13">
        <v>400</v>
      </c>
      <c r="DI96" s="13">
        <v>8</v>
      </c>
      <c r="DJ96" s="14">
        <f t="shared" si="22"/>
        <v>0.28799999999999998</v>
      </c>
      <c r="DK96" s="13"/>
      <c r="DL96" s="14"/>
      <c r="DM96" s="13"/>
    </row>
    <row r="97" spans="2:117" ht="15.75" x14ac:dyDescent="0.25">
      <c r="B97" s="13">
        <v>2.2000000000000002</v>
      </c>
      <c r="C97" s="13">
        <v>28</v>
      </c>
      <c r="D97" s="13">
        <v>400</v>
      </c>
      <c r="E97" s="13">
        <v>1</v>
      </c>
      <c r="F97" s="20">
        <f>B97*C97*D97*E97/1000000</f>
        <v>2.4640000000000002E-2</v>
      </c>
      <c r="G97" s="13"/>
      <c r="H97" s="14"/>
      <c r="I97" s="13"/>
      <c r="K97" s="13">
        <v>2.2000000000000002</v>
      </c>
      <c r="L97" s="13">
        <v>20</v>
      </c>
      <c r="M97" s="13">
        <v>400</v>
      </c>
      <c r="N97" s="13">
        <v>5</v>
      </c>
      <c r="O97" s="14">
        <f t="shared" si="29"/>
        <v>8.7999999999999995E-2</v>
      </c>
      <c r="P97" s="13"/>
      <c r="Q97" s="14"/>
      <c r="R97" s="13"/>
      <c r="T97" s="122">
        <v>2</v>
      </c>
      <c r="U97" s="122">
        <v>3</v>
      </c>
      <c r="V97" s="122">
        <v>400</v>
      </c>
      <c r="W97" s="122">
        <v>875</v>
      </c>
      <c r="X97" s="123">
        <f t="shared" si="24"/>
        <v>2.1</v>
      </c>
      <c r="Y97" s="122">
        <f>SUM(W91:W97)</f>
        <v>948</v>
      </c>
      <c r="Z97" s="123">
        <f>SUM(X91:X97)</f>
        <v>2.8541600000000003</v>
      </c>
      <c r="AA97" s="122"/>
      <c r="AC97" s="122">
        <v>3</v>
      </c>
      <c r="AD97" s="122">
        <v>5</v>
      </c>
      <c r="AE97" s="122">
        <v>400</v>
      </c>
      <c r="AF97" s="122">
        <v>640</v>
      </c>
      <c r="AG97" s="123">
        <f t="shared" si="26"/>
        <v>3.84</v>
      </c>
      <c r="AH97" s="122">
        <f>SUM(AF97)</f>
        <v>640</v>
      </c>
      <c r="AI97" s="123">
        <f>SUM(AG97)</f>
        <v>3.84</v>
      </c>
      <c r="AJ97" s="122"/>
      <c r="AL97" s="8" t="s">
        <v>50</v>
      </c>
      <c r="AQ97" s="8" t="s">
        <v>120</v>
      </c>
      <c r="AR97" s="4"/>
      <c r="AS97" s="4"/>
      <c r="AU97" s="13">
        <v>10</v>
      </c>
      <c r="AV97" s="13">
        <v>20</v>
      </c>
      <c r="AW97" s="13">
        <v>400</v>
      </c>
      <c r="AX97" s="13">
        <v>1</v>
      </c>
      <c r="AY97" s="14">
        <f t="shared" si="37"/>
        <v>0.08</v>
      </c>
      <c r="AZ97" s="13"/>
      <c r="BA97" s="14"/>
      <c r="BB97" s="13"/>
      <c r="BD97" s="13">
        <v>8</v>
      </c>
      <c r="BE97" s="13">
        <v>25</v>
      </c>
      <c r="BF97" s="13">
        <v>400</v>
      </c>
      <c r="BG97" s="13">
        <v>9</v>
      </c>
      <c r="BH97" s="14">
        <f t="shared" si="36"/>
        <v>0.72</v>
      </c>
      <c r="BI97" s="13"/>
      <c r="BJ97" s="14"/>
      <c r="BK97" s="13"/>
      <c r="BM97" s="13">
        <v>15</v>
      </c>
      <c r="BN97" s="13">
        <v>25</v>
      </c>
      <c r="BO97" s="13">
        <v>400</v>
      </c>
      <c r="BP97" s="13">
        <v>2</v>
      </c>
      <c r="BQ97" s="14">
        <f t="shared" ref="BQ97:BQ124" si="38">BM97*BN97*BO97*BP97/1000000</f>
        <v>0.3</v>
      </c>
      <c r="BR97" s="13"/>
      <c r="BS97" s="14"/>
      <c r="BT97" s="13"/>
      <c r="BV97" s="13">
        <v>7</v>
      </c>
      <c r="BW97" s="13">
        <v>20</v>
      </c>
      <c r="BX97" s="13">
        <v>400</v>
      </c>
      <c r="BY97" s="13">
        <v>3</v>
      </c>
      <c r="BZ97" s="14">
        <f t="shared" si="33"/>
        <v>0.16800000000000001</v>
      </c>
      <c r="CA97" s="13"/>
      <c r="CB97" s="14"/>
      <c r="CC97" s="41"/>
      <c r="CE97" s="13">
        <v>2.2000000000000002</v>
      </c>
      <c r="CF97" s="13">
        <v>25</v>
      </c>
      <c r="CG97" s="13">
        <v>400</v>
      </c>
      <c r="CH97" s="13">
        <v>1</v>
      </c>
      <c r="CI97" s="14">
        <f t="shared" si="34"/>
        <v>2.2000000000000002E-2</v>
      </c>
      <c r="CJ97" s="13"/>
      <c r="CK97" s="14"/>
      <c r="CL97" s="41"/>
      <c r="CN97" s="122">
        <v>3</v>
      </c>
      <c r="CO97" s="122">
        <v>5</v>
      </c>
      <c r="CP97" s="122">
        <v>400</v>
      </c>
      <c r="CQ97" s="122">
        <v>20</v>
      </c>
      <c r="CR97" s="123">
        <f t="shared" si="25"/>
        <v>0.12</v>
      </c>
      <c r="CS97" s="122">
        <f>SUM(CQ62:CQ97)</f>
        <v>611</v>
      </c>
      <c r="CT97" s="167">
        <f>SUM(CR62:CR97)</f>
        <v>12.30724</v>
      </c>
      <c r="CU97" s="126" t="s">
        <v>23</v>
      </c>
      <c r="CW97" s="122">
        <v>3</v>
      </c>
      <c r="CX97" s="122">
        <v>5</v>
      </c>
      <c r="CY97" s="122">
        <v>300</v>
      </c>
      <c r="CZ97" s="122">
        <v>50</v>
      </c>
      <c r="DA97" s="198">
        <f>CW97*CX97*CY97*CZ97/1000000</f>
        <v>0.22500000000000001</v>
      </c>
      <c r="DB97" s="122">
        <f>SUM(CZ95:CZ97)</f>
        <v>270</v>
      </c>
      <c r="DC97" s="199">
        <f>SUM(DA95:DA97)</f>
        <v>2.1850000000000001</v>
      </c>
      <c r="DD97" s="126"/>
      <c r="DF97" s="13">
        <v>7</v>
      </c>
      <c r="DG97" s="13">
        <v>20</v>
      </c>
      <c r="DH97" s="13">
        <v>400</v>
      </c>
      <c r="DI97" s="13">
        <v>3</v>
      </c>
      <c r="DJ97" s="14">
        <f t="shared" si="22"/>
        <v>0.16800000000000001</v>
      </c>
      <c r="DK97" s="13"/>
      <c r="DL97" s="14"/>
      <c r="DM97" s="13"/>
    </row>
    <row r="98" spans="2:117" ht="16.5" thickBot="1" x14ac:dyDescent="0.3">
      <c r="B98" s="13">
        <v>2.2000000000000002</v>
      </c>
      <c r="C98" s="13">
        <v>15</v>
      </c>
      <c r="D98" s="13">
        <v>400</v>
      </c>
      <c r="E98" s="13">
        <v>16</v>
      </c>
      <c r="F98" s="20">
        <f>B98*C98*D98*E98/1000000</f>
        <v>0.2112</v>
      </c>
      <c r="G98" s="13"/>
      <c r="H98" s="14"/>
      <c r="I98" s="13"/>
      <c r="K98" s="13">
        <v>1.7</v>
      </c>
      <c r="L98" s="13">
        <v>20</v>
      </c>
      <c r="M98" s="13">
        <v>400</v>
      </c>
      <c r="N98" s="13">
        <v>4</v>
      </c>
      <c r="O98" s="14">
        <f t="shared" si="29"/>
        <v>5.4399999999999997E-2</v>
      </c>
      <c r="P98" s="13"/>
      <c r="Q98" s="14"/>
      <c r="R98" s="13"/>
      <c r="T98" s="13">
        <v>1.7</v>
      </c>
      <c r="U98" s="13">
        <v>15</v>
      </c>
      <c r="V98" s="13">
        <v>400</v>
      </c>
      <c r="W98" s="13">
        <v>1</v>
      </c>
      <c r="X98" s="14">
        <f t="shared" si="24"/>
        <v>1.0200000000000001E-2</v>
      </c>
      <c r="Y98" s="13"/>
      <c r="Z98" s="14"/>
      <c r="AA98" s="13"/>
      <c r="AC98" s="13">
        <v>2.2000000000000002</v>
      </c>
      <c r="AD98" s="13">
        <v>25</v>
      </c>
      <c r="AE98" s="13">
        <v>400</v>
      </c>
      <c r="AF98" s="13">
        <v>1</v>
      </c>
      <c r="AG98" s="14">
        <f t="shared" si="26"/>
        <v>2.2000000000000002E-2</v>
      </c>
      <c r="AH98" s="13"/>
      <c r="AI98" s="14"/>
      <c r="AJ98" s="13"/>
      <c r="AL98" s="4" t="s">
        <v>24</v>
      </c>
      <c r="AM98" s="4"/>
      <c r="AN98" s="6">
        <f>SUM(AO14)</f>
        <v>2424</v>
      </c>
      <c r="AO98" s="7">
        <f>SUM(AP14)</f>
        <v>11.0404</v>
      </c>
      <c r="AQ98" s="4" t="s">
        <v>118</v>
      </c>
      <c r="AR98" s="6">
        <f>SUM(AO94,AO92,AO89,AO50,AO45,AO14)</f>
        <v>4917</v>
      </c>
      <c r="AS98" s="7">
        <f>SUM(AP94,AP92,AP89,AP50,AP45,AP14)</f>
        <v>24.303199999999997</v>
      </c>
      <c r="AU98" s="13">
        <v>6</v>
      </c>
      <c r="AV98" s="13">
        <v>15</v>
      </c>
      <c r="AW98" s="13">
        <v>400</v>
      </c>
      <c r="AX98" s="13">
        <v>6</v>
      </c>
      <c r="AY98" s="14">
        <f t="shared" si="37"/>
        <v>0.216</v>
      </c>
      <c r="AZ98" s="13"/>
      <c r="BA98" s="14"/>
      <c r="BB98" s="13"/>
      <c r="BD98" s="13">
        <v>10</v>
      </c>
      <c r="BE98" s="13">
        <v>25</v>
      </c>
      <c r="BF98" s="13">
        <v>400</v>
      </c>
      <c r="BG98" s="13">
        <v>10</v>
      </c>
      <c r="BH98" s="14">
        <f t="shared" si="36"/>
        <v>1</v>
      </c>
      <c r="BI98" s="13"/>
      <c r="BJ98" s="14"/>
      <c r="BK98" s="13"/>
      <c r="BM98" s="13">
        <v>10</v>
      </c>
      <c r="BN98" s="13">
        <v>25</v>
      </c>
      <c r="BO98" s="13">
        <v>400</v>
      </c>
      <c r="BP98" s="13">
        <v>11</v>
      </c>
      <c r="BQ98" s="14">
        <f t="shared" si="38"/>
        <v>1.1000000000000001</v>
      </c>
      <c r="BR98" s="13"/>
      <c r="BS98" s="14"/>
      <c r="BT98" s="13"/>
      <c r="BV98" s="13">
        <v>15</v>
      </c>
      <c r="BW98" s="13">
        <v>15</v>
      </c>
      <c r="BX98" s="13">
        <v>400</v>
      </c>
      <c r="BY98" s="13">
        <v>3</v>
      </c>
      <c r="BZ98" s="14">
        <f t="shared" si="33"/>
        <v>0.27</v>
      </c>
      <c r="CA98" s="13"/>
      <c r="CB98" s="14"/>
      <c r="CC98" s="13"/>
      <c r="CE98" s="13">
        <v>10</v>
      </c>
      <c r="CF98" s="13">
        <v>25</v>
      </c>
      <c r="CG98" s="13">
        <v>400</v>
      </c>
      <c r="CH98" s="13">
        <v>1</v>
      </c>
      <c r="CI98" s="14">
        <f t="shared" si="34"/>
        <v>0.1</v>
      </c>
      <c r="CJ98" s="13"/>
      <c r="CK98" s="14"/>
      <c r="CL98" s="41"/>
      <c r="CN98" s="115"/>
      <c r="CO98" s="115"/>
      <c r="CP98" s="115"/>
      <c r="CQ98" s="17">
        <f>SUM(CQ62:CQ97)</f>
        <v>611</v>
      </c>
      <c r="CR98" s="32">
        <f t="shared" ref="CR98" si="39">SUM(CR62:CR97)</f>
        <v>12.30724</v>
      </c>
      <c r="CS98" s="17">
        <f t="shared" ref="CS98" si="40">SUM(CS62:CS97)</f>
        <v>611</v>
      </c>
      <c r="CT98" s="32">
        <f t="shared" ref="CT98" si="41">SUM(CT62:CT97)</f>
        <v>12.30724</v>
      </c>
      <c r="CU98" s="146"/>
      <c r="CW98" s="115"/>
      <c r="CX98" s="115"/>
      <c r="CY98" s="115"/>
      <c r="CZ98" s="17">
        <f>SUM(CZ58:CZ97)</f>
        <v>505</v>
      </c>
      <c r="DA98" s="32">
        <f>SUM(DA58:DA97)</f>
        <v>10.577799999999998</v>
      </c>
      <c r="DB98" s="17">
        <f>SUM(DB58:DB97)</f>
        <v>505</v>
      </c>
      <c r="DC98" s="32">
        <f>SUM(DC58:DC97)</f>
        <v>10.5778</v>
      </c>
      <c r="DD98" s="146"/>
      <c r="DF98" s="13">
        <v>8</v>
      </c>
      <c r="DG98" s="13">
        <v>20</v>
      </c>
      <c r="DH98" s="13">
        <v>400</v>
      </c>
      <c r="DI98" s="13">
        <v>1</v>
      </c>
      <c r="DJ98" s="14">
        <f t="shared" si="22"/>
        <v>6.4000000000000001E-2</v>
      </c>
      <c r="DK98" s="13"/>
      <c r="DL98" s="14"/>
      <c r="DM98" s="13"/>
    </row>
    <row r="99" spans="2:117" ht="16.5" thickTop="1" x14ac:dyDescent="0.25">
      <c r="B99" s="13">
        <v>2.2000000000000002</v>
      </c>
      <c r="C99" s="13">
        <v>13</v>
      </c>
      <c r="D99" s="13">
        <v>400</v>
      </c>
      <c r="E99" s="13">
        <v>15</v>
      </c>
      <c r="F99" s="20">
        <f>B99*C99*D99*E99/1000000</f>
        <v>0.1716</v>
      </c>
      <c r="G99" s="13">
        <f>SUM(E95:E99)</f>
        <v>184</v>
      </c>
      <c r="H99" s="14">
        <f>SUM(F95:F99)</f>
        <v>2.8274400000000002</v>
      </c>
      <c r="I99" s="13"/>
      <c r="K99" s="13">
        <v>15</v>
      </c>
      <c r="L99" s="13">
        <v>20</v>
      </c>
      <c r="M99" s="13">
        <v>400</v>
      </c>
      <c r="N99" s="13">
        <v>1</v>
      </c>
      <c r="O99" s="14">
        <f t="shared" si="29"/>
        <v>0.12</v>
      </c>
      <c r="P99" s="13"/>
      <c r="Q99" s="14"/>
      <c r="R99" s="13"/>
      <c r="T99" s="13">
        <v>1.7</v>
      </c>
      <c r="U99" s="13">
        <v>13</v>
      </c>
      <c r="V99" s="13">
        <v>400</v>
      </c>
      <c r="W99" s="13">
        <v>2</v>
      </c>
      <c r="X99" s="14">
        <f t="shared" si="24"/>
        <v>1.7680000000000001E-2</v>
      </c>
      <c r="Y99" s="13">
        <f>SUM(W98:W99)</f>
        <v>3</v>
      </c>
      <c r="Z99" s="14">
        <f>SUM(X98:X99)</f>
        <v>2.7880000000000002E-2</v>
      </c>
      <c r="AA99" s="13"/>
      <c r="AC99" s="13">
        <v>2.2000000000000002</v>
      </c>
      <c r="AD99" s="13">
        <v>18</v>
      </c>
      <c r="AE99" s="13">
        <v>400</v>
      </c>
      <c r="AF99" s="13">
        <v>2</v>
      </c>
      <c r="AG99" s="14">
        <f t="shared" si="26"/>
        <v>3.168E-2</v>
      </c>
      <c r="AH99" s="13"/>
      <c r="AI99" s="14"/>
      <c r="AJ99" s="13"/>
      <c r="AL99" s="4" t="s">
        <v>22</v>
      </c>
      <c r="AM99" s="4"/>
      <c r="AN99" s="6">
        <f>SUM(AO67)</f>
        <v>660</v>
      </c>
      <c r="AO99" s="5">
        <f>SUM(AP67)</f>
        <v>11.939109999999999</v>
      </c>
      <c r="AQ99" s="4" t="s">
        <v>119</v>
      </c>
      <c r="AR99" s="6">
        <f>SUM(AO93,AO90:AO91,AO76:AO88,AO51:AO66,AO46:AO49,AO23:AO44,)</f>
        <v>312</v>
      </c>
      <c r="AS99" s="5">
        <f>SUM(AP93,AP90:AP91,AP76:AP88,AP51:AP66,AP46:AP49,AP23:AP44,)</f>
        <v>10.88771</v>
      </c>
      <c r="AU99" s="13">
        <v>7</v>
      </c>
      <c r="AV99" s="13">
        <v>15</v>
      </c>
      <c r="AW99" s="13">
        <v>400</v>
      </c>
      <c r="AX99" s="13">
        <v>3</v>
      </c>
      <c r="AY99" s="14">
        <f t="shared" si="37"/>
        <v>0.126</v>
      </c>
      <c r="AZ99" s="13"/>
      <c r="BA99" s="14"/>
      <c r="BB99" s="13"/>
      <c r="BD99" s="13">
        <v>4.5</v>
      </c>
      <c r="BE99" s="13">
        <v>13</v>
      </c>
      <c r="BF99" s="13">
        <v>400</v>
      </c>
      <c r="BG99" s="13">
        <v>14</v>
      </c>
      <c r="BH99" s="14">
        <f t="shared" si="36"/>
        <v>0.3276</v>
      </c>
      <c r="BI99" s="13"/>
      <c r="BJ99" s="14"/>
      <c r="BK99" s="41"/>
      <c r="BM99" s="13">
        <v>13</v>
      </c>
      <c r="BN99" s="13">
        <v>25</v>
      </c>
      <c r="BO99" s="13">
        <v>400</v>
      </c>
      <c r="BP99" s="13">
        <v>2</v>
      </c>
      <c r="BQ99" s="14">
        <f t="shared" si="38"/>
        <v>0.26</v>
      </c>
      <c r="BR99" s="13"/>
      <c r="BS99" s="14"/>
      <c r="BT99" s="13"/>
      <c r="BV99" s="13">
        <v>13</v>
      </c>
      <c r="BW99" s="13">
        <v>15</v>
      </c>
      <c r="BX99" s="13">
        <v>400</v>
      </c>
      <c r="BY99" s="13">
        <v>3</v>
      </c>
      <c r="BZ99" s="14">
        <f t="shared" si="33"/>
        <v>0.23400000000000001</v>
      </c>
      <c r="CA99" s="13"/>
      <c r="CB99" s="14"/>
      <c r="CC99" s="13"/>
      <c r="CE99" s="13">
        <v>15</v>
      </c>
      <c r="CF99" s="13">
        <v>30</v>
      </c>
      <c r="CG99" s="13">
        <v>400</v>
      </c>
      <c r="CH99" s="13">
        <v>1</v>
      </c>
      <c r="CI99" s="14">
        <f t="shared" si="34"/>
        <v>0.18</v>
      </c>
      <c r="CJ99" s="13"/>
      <c r="CK99" s="14"/>
      <c r="CL99" s="41"/>
      <c r="DF99" s="13">
        <v>10</v>
      </c>
      <c r="DG99" s="13">
        <v>15</v>
      </c>
      <c r="DH99" s="13">
        <v>400</v>
      </c>
      <c r="DI99" s="13">
        <v>2</v>
      </c>
      <c r="DJ99" s="14">
        <f t="shared" si="22"/>
        <v>0.12</v>
      </c>
      <c r="DK99" s="13"/>
      <c r="DL99" s="14"/>
      <c r="DM99" s="13"/>
    </row>
    <row r="100" spans="2:117" ht="16.5" thickBot="1" x14ac:dyDescent="0.3">
      <c r="B100" s="108">
        <v>4</v>
      </c>
      <c r="C100" s="108">
        <v>7</v>
      </c>
      <c r="D100" s="108">
        <v>400</v>
      </c>
      <c r="E100" s="108">
        <v>65</v>
      </c>
      <c r="F100" s="112">
        <f t="shared" si="28"/>
        <v>0.72799999999999998</v>
      </c>
      <c r="G100" s="108"/>
      <c r="H100" s="109"/>
      <c r="I100" s="108"/>
      <c r="K100" s="13">
        <v>13</v>
      </c>
      <c r="L100" s="13">
        <v>23</v>
      </c>
      <c r="M100" s="13">
        <v>400</v>
      </c>
      <c r="N100" s="13">
        <v>1</v>
      </c>
      <c r="O100" s="14">
        <f t="shared" si="29"/>
        <v>0.1196</v>
      </c>
      <c r="P100" s="13">
        <f>SUM(N97:N100)</f>
        <v>11</v>
      </c>
      <c r="Q100" s="14">
        <f>SUM(O97:O100)</f>
        <v>0.38199999999999995</v>
      </c>
      <c r="R100" s="13"/>
      <c r="T100" s="241"/>
      <c r="U100" s="241"/>
      <c r="V100" s="242"/>
      <c r="W100" s="12">
        <f>SUM(W61:W99)</f>
        <v>1265</v>
      </c>
      <c r="X100" s="10">
        <f>SUM(X61:X99)</f>
        <v>12.422640000000003</v>
      </c>
      <c r="Y100" s="9">
        <f>SUM(Y61:Y99)</f>
        <v>1265</v>
      </c>
      <c r="Z100" s="10">
        <f>SUM(Z61:Z99)</f>
        <v>12.422639999999999</v>
      </c>
      <c r="AA100" s="9"/>
      <c r="AC100" s="13">
        <v>2.2000000000000002</v>
      </c>
      <c r="AD100" s="13">
        <v>15</v>
      </c>
      <c r="AE100" s="13">
        <v>400</v>
      </c>
      <c r="AF100" s="13">
        <v>7</v>
      </c>
      <c r="AG100" s="14">
        <f t="shared" si="26"/>
        <v>9.2399999999999996E-2</v>
      </c>
      <c r="AH100" s="13"/>
      <c r="AI100" s="14"/>
      <c r="AJ100" s="13"/>
      <c r="AL100" s="4" t="s">
        <v>20</v>
      </c>
      <c r="AM100" s="4"/>
      <c r="AN100" s="6">
        <f>SUM(AO95)</f>
        <v>2145</v>
      </c>
      <c r="AO100" s="7">
        <f>SUM(AP95)</f>
        <v>12.211400000000001</v>
      </c>
      <c r="AQ100" s="4"/>
      <c r="AR100" s="3">
        <f>SUM(AR98:AR99)</f>
        <v>5229</v>
      </c>
      <c r="AS100" s="153">
        <f>SUM(AS98:AS99)</f>
        <v>35.190909999999995</v>
      </c>
      <c r="AU100" s="13">
        <v>2</v>
      </c>
      <c r="AV100" s="13">
        <v>15</v>
      </c>
      <c r="AW100" s="13">
        <v>400</v>
      </c>
      <c r="AX100" s="13">
        <v>1</v>
      </c>
      <c r="AY100" s="14">
        <f t="shared" si="37"/>
        <v>1.2E-2</v>
      </c>
      <c r="AZ100" s="13"/>
      <c r="BA100" s="14"/>
      <c r="BB100" s="13"/>
      <c r="BD100" s="13">
        <v>3.5</v>
      </c>
      <c r="BE100" s="13">
        <v>13</v>
      </c>
      <c r="BF100" s="13">
        <v>400</v>
      </c>
      <c r="BG100" s="13">
        <v>8</v>
      </c>
      <c r="BH100" s="14">
        <f t="shared" si="36"/>
        <v>0.14560000000000001</v>
      </c>
      <c r="BI100" s="13"/>
      <c r="BJ100" s="14"/>
      <c r="BK100" s="13"/>
      <c r="BM100" s="13">
        <v>8</v>
      </c>
      <c r="BN100" s="13">
        <v>25</v>
      </c>
      <c r="BO100" s="13">
        <v>400</v>
      </c>
      <c r="BP100" s="13">
        <v>1</v>
      </c>
      <c r="BQ100" s="14">
        <f t="shared" si="38"/>
        <v>0.08</v>
      </c>
      <c r="BR100" s="13"/>
      <c r="BS100" s="14"/>
      <c r="BT100" s="13"/>
      <c r="BV100" s="13">
        <v>7</v>
      </c>
      <c r="BW100" s="13">
        <v>15</v>
      </c>
      <c r="BX100" s="13">
        <v>400</v>
      </c>
      <c r="BY100" s="13">
        <v>1</v>
      </c>
      <c r="BZ100" s="14">
        <f t="shared" si="33"/>
        <v>4.2000000000000003E-2</v>
      </c>
      <c r="CA100" s="13"/>
      <c r="CB100" s="14"/>
      <c r="CC100" s="13"/>
      <c r="CE100" s="13">
        <v>8</v>
      </c>
      <c r="CF100" s="13">
        <v>30</v>
      </c>
      <c r="CG100" s="13">
        <v>400</v>
      </c>
      <c r="CH100" s="13">
        <v>1</v>
      </c>
      <c r="CI100" s="14">
        <f t="shared" si="34"/>
        <v>9.6000000000000002E-2</v>
      </c>
      <c r="CJ100" s="13"/>
      <c r="CK100" s="14"/>
      <c r="CL100" s="41"/>
      <c r="CN100" s="231" t="s">
        <v>19</v>
      </c>
      <c r="CO100" s="231"/>
      <c r="CP100" s="231"/>
      <c r="CQ100" s="231"/>
      <c r="CR100" s="231"/>
      <c r="CS100" s="231"/>
      <c r="CT100" s="231"/>
      <c r="CU100" s="231"/>
      <c r="CW100" s="231" t="s">
        <v>19</v>
      </c>
      <c r="CX100" s="231"/>
      <c r="CY100" s="231"/>
      <c r="CZ100" s="231"/>
      <c r="DA100" s="231"/>
      <c r="DB100" s="231"/>
      <c r="DC100" s="231"/>
      <c r="DD100" s="231"/>
      <c r="DF100" s="13">
        <v>15</v>
      </c>
      <c r="DG100" s="13">
        <v>15</v>
      </c>
      <c r="DH100" s="13">
        <v>400</v>
      </c>
      <c r="DI100" s="13">
        <v>1</v>
      </c>
      <c r="DJ100" s="14">
        <f t="shared" si="22"/>
        <v>0.09</v>
      </c>
      <c r="DK100" s="13"/>
      <c r="DL100" s="14"/>
      <c r="DM100" s="13"/>
    </row>
    <row r="101" spans="2:117" ht="17.25" thickTop="1" thickBot="1" x14ac:dyDescent="0.3">
      <c r="B101" s="108">
        <v>3</v>
      </c>
      <c r="C101" s="108">
        <v>7</v>
      </c>
      <c r="D101" s="108">
        <v>400</v>
      </c>
      <c r="E101" s="108">
        <v>66</v>
      </c>
      <c r="F101" s="112">
        <f t="shared" si="28"/>
        <v>0.5544</v>
      </c>
      <c r="G101" s="108">
        <f>SUM(E100:E101)</f>
        <v>131</v>
      </c>
      <c r="H101" s="109">
        <f>SUM(F100:F101)</f>
        <v>1.2824</v>
      </c>
      <c r="I101" s="108"/>
      <c r="K101" s="13">
        <v>10</v>
      </c>
      <c r="L101" s="13">
        <v>23</v>
      </c>
      <c r="M101" s="13">
        <v>400</v>
      </c>
      <c r="N101" s="13">
        <v>4</v>
      </c>
      <c r="O101" s="14">
        <f t="shared" si="29"/>
        <v>0.36799999999999999</v>
      </c>
      <c r="P101" s="13"/>
      <c r="Q101" s="14"/>
      <c r="R101" s="13"/>
      <c r="AC101" s="13">
        <v>2.2000000000000002</v>
      </c>
      <c r="AD101" s="13">
        <v>13</v>
      </c>
      <c r="AE101" s="13">
        <v>400</v>
      </c>
      <c r="AF101" s="13">
        <v>3</v>
      </c>
      <c r="AG101" s="14">
        <f t="shared" si="26"/>
        <v>3.4320000000000003E-2</v>
      </c>
      <c r="AH101" s="13"/>
      <c r="AI101" s="14"/>
      <c r="AJ101" s="13"/>
      <c r="AL101" s="4"/>
      <c r="AM101" s="4"/>
      <c r="AN101" s="30">
        <f>SUM(AN98:AN100)</f>
        <v>5229</v>
      </c>
      <c r="AO101" s="31">
        <f>SUM(AO98:AO100)</f>
        <v>35.190910000000002</v>
      </c>
      <c r="AU101" s="13">
        <v>6</v>
      </c>
      <c r="AV101" s="13">
        <v>12</v>
      </c>
      <c r="AW101" s="13">
        <v>400</v>
      </c>
      <c r="AX101" s="13">
        <v>5</v>
      </c>
      <c r="AY101" s="14">
        <f t="shared" si="37"/>
        <v>0.14399999999999999</v>
      </c>
      <c r="AZ101" s="13"/>
      <c r="BA101" s="14"/>
      <c r="BB101" s="13"/>
      <c r="BD101" s="13">
        <v>2.2000000000000002</v>
      </c>
      <c r="BE101" s="13">
        <v>13</v>
      </c>
      <c r="BF101" s="13">
        <v>400</v>
      </c>
      <c r="BG101" s="13">
        <v>6</v>
      </c>
      <c r="BH101" s="14">
        <f t="shared" si="36"/>
        <v>6.8640000000000007E-2</v>
      </c>
      <c r="BI101" s="13"/>
      <c r="BJ101" s="14"/>
      <c r="BK101" s="41"/>
      <c r="BM101" s="13">
        <v>10</v>
      </c>
      <c r="BN101" s="13">
        <v>30</v>
      </c>
      <c r="BO101" s="13">
        <v>400</v>
      </c>
      <c r="BP101" s="13">
        <v>2</v>
      </c>
      <c r="BQ101" s="14">
        <f t="shared" si="38"/>
        <v>0.24</v>
      </c>
      <c r="BR101" s="13"/>
      <c r="BS101" s="14"/>
      <c r="BT101" s="13"/>
      <c r="BV101" s="13">
        <v>4.5</v>
      </c>
      <c r="BW101" s="13">
        <v>13</v>
      </c>
      <c r="BX101" s="13">
        <v>400</v>
      </c>
      <c r="BY101" s="13">
        <v>8</v>
      </c>
      <c r="BZ101" s="14">
        <f t="shared" si="33"/>
        <v>0.18720000000000001</v>
      </c>
      <c r="CA101" s="13"/>
      <c r="CB101" s="14"/>
      <c r="CC101" s="13"/>
      <c r="CE101" s="13">
        <v>13</v>
      </c>
      <c r="CF101" s="13">
        <v>15</v>
      </c>
      <c r="CG101" s="13">
        <v>400</v>
      </c>
      <c r="CH101" s="13">
        <v>1</v>
      </c>
      <c r="CI101" s="14">
        <f t="shared" si="34"/>
        <v>7.8E-2</v>
      </c>
      <c r="CJ101" s="13"/>
      <c r="CK101" s="14"/>
      <c r="CL101" s="41"/>
      <c r="CN101" s="231"/>
      <c r="CO101" s="231"/>
      <c r="CP101" s="231"/>
      <c r="CQ101" s="231"/>
      <c r="CR101" s="231"/>
      <c r="CS101" s="231"/>
      <c r="CT101" s="231"/>
      <c r="CU101" s="231"/>
      <c r="CW101" s="231"/>
      <c r="CX101" s="231"/>
      <c r="CY101" s="231"/>
      <c r="CZ101" s="231"/>
      <c r="DA101" s="231"/>
      <c r="DB101" s="231"/>
      <c r="DC101" s="231"/>
      <c r="DD101" s="231"/>
      <c r="DF101" s="13">
        <v>7</v>
      </c>
      <c r="DG101" s="13">
        <v>15</v>
      </c>
      <c r="DH101" s="13">
        <v>400</v>
      </c>
      <c r="DI101" s="13">
        <v>7</v>
      </c>
      <c r="DJ101" s="14">
        <f t="shared" si="22"/>
        <v>0.29399999999999998</v>
      </c>
      <c r="DK101" s="13"/>
      <c r="DL101" s="96"/>
      <c r="DM101" s="13"/>
    </row>
    <row r="102" spans="2:117" ht="17.25" thickTop="1" thickBot="1" x14ac:dyDescent="0.3">
      <c r="E102" s="17">
        <f>SUM(E71:E101)</f>
        <v>401</v>
      </c>
      <c r="F102" s="18">
        <f>SUM(F71:F101)</f>
        <v>11.006639999999997</v>
      </c>
      <c r="G102" s="17">
        <f>SUM(G71:G101)</f>
        <v>401</v>
      </c>
      <c r="H102" s="18">
        <f>SUM(H71:H101)</f>
        <v>11.006640000000001</v>
      </c>
      <c r="I102" s="17"/>
      <c r="K102" s="13">
        <v>13</v>
      </c>
      <c r="L102" s="13">
        <v>20</v>
      </c>
      <c r="M102" s="13">
        <v>400</v>
      </c>
      <c r="N102" s="13">
        <v>8</v>
      </c>
      <c r="O102" s="14">
        <f t="shared" si="29"/>
        <v>0.83199999999999996</v>
      </c>
      <c r="P102" s="13"/>
      <c r="Q102" s="14"/>
      <c r="R102" s="13"/>
      <c r="AC102" s="13">
        <v>2.2000000000000002</v>
      </c>
      <c r="AD102" s="13">
        <v>10</v>
      </c>
      <c r="AE102" s="13">
        <v>400</v>
      </c>
      <c r="AF102" s="13">
        <v>24</v>
      </c>
      <c r="AG102" s="14">
        <f t="shared" si="26"/>
        <v>0.2112</v>
      </c>
      <c r="AH102" s="13">
        <f>SUM(AF98:AF102)</f>
        <v>37</v>
      </c>
      <c r="AI102" s="14">
        <f>SUM(AG98:AG102)</f>
        <v>0.3916</v>
      </c>
      <c r="AJ102" s="13"/>
      <c r="AU102" s="13">
        <v>8</v>
      </c>
      <c r="AV102" s="13">
        <v>12</v>
      </c>
      <c r="AW102" s="13">
        <v>400</v>
      </c>
      <c r="AX102" s="13">
        <v>1</v>
      </c>
      <c r="AY102" s="14">
        <f t="shared" si="37"/>
        <v>3.8399999999999997E-2</v>
      </c>
      <c r="AZ102" s="13"/>
      <c r="BA102" s="14"/>
      <c r="BB102" s="13"/>
      <c r="BD102" s="13">
        <v>7</v>
      </c>
      <c r="BE102" s="13">
        <v>13</v>
      </c>
      <c r="BF102" s="13">
        <v>400</v>
      </c>
      <c r="BG102" s="13">
        <v>4</v>
      </c>
      <c r="BH102" s="14">
        <f t="shared" si="36"/>
        <v>0.14560000000000001</v>
      </c>
      <c r="BI102" s="13"/>
      <c r="BJ102" s="14"/>
      <c r="BK102" s="41"/>
      <c r="BM102" s="13">
        <v>15</v>
      </c>
      <c r="BN102" s="13">
        <v>30</v>
      </c>
      <c r="BO102" s="13">
        <v>400</v>
      </c>
      <c r="BP102" s="13">
        <v>1</v>
      </c>
      <c r="BQ102" s="14">
        <f t="shared" si="38"/>
        <v>0.18</v>
      </c>
      <c r="BR102" s="13"/>
      <c r="BS102" s="14"/>
      <c r="BT102" s="41"/>
      <c r="BV102" s="13">
        <v>4.5</v>
      </c>
      <c r="BW102" s="13">
        <v>10</v>
      </c>
      <c r="BX102" s="13">
        <v>400</v>
      </c>
      <c r="BY102" s="13">
        <v>8</v>
      </c>
      <c r="BZ102" s="14">
        <f t="shared" si="33"/>
        <v>0.14399999999999999</v>
      </c>
      <c r="CA102" s="13"/>
      <c r="CB102" s="14"/>
      <c r="CC102" s="13"/>
      <c r="CE102" s="13">
        <v>10</v>
      </c>
      <c r="CF102" s="13">
        <v>10</v>
      </c>
      <c r="CG102" s="13">
        <v>400</v>
      </c>
      <c r="CH102" s="13">
        <v>2</v>
      </c>
      <c r="CI102" s="14">
        <f t="shared" si="34"/>
        <v>0.08</v>
      </c>
      <c r="CJ102" s="13"/>
      <c r="CK102" s="14"/>
      <c r="CL102" s="41"/>
      <c r="CN102" s="28" t="s">
        <v>18</v>
      </c>
      <c r="CO102" s="27" t="s">
        <v>34</v>
      </c>
      <c r="CP102" s="26"/>
      <c r="CQ102" s="26"/>
      <c r="CR102" s="26"/>
      <c r="CS102" s="26"/>
      <c r="CW102" s="28" t="s">
        <v>18</v>
      </c>
      <c r="CX102" s="27" t="s">
        <v>177</v>
      </c>
      <c r="CY102" s="26"/>
      <c r="CZ102" s="26"/>
      <c r="DA102" s="26"/>
      <c r="DB102" s="26"/>
      <c r="DC102" s="196"/>
      <c r="DD102" s="196"/>
      <c r="DF102" s="61">
        <v>2.2000000000000002</v>
      </c>
      <c r="DG102" s="61">
        <v>15</v>
      </c>
      <c r="DH102" s="13">
        <v>400</v>
      </c>
      <c r="DI102" s="61">
        <v>10</v>
      </c>
      <c r="DJ102" s="63">
        <f t="shared" si="22"/>
        <v>0.13200000000000001</v>
      </c>
      <c r="DK102" s="61"/>
      <c r="DL102" s="193"/>
      <c r="DM102" s="13"/>
    </row>
    <row r="103" spans="2:117" ht="16.5" thickTop="1" x14ac:dyDescent="0.25">
      <c r="K103" s="13">
        <v>10</v>
      </c>
      <c r="L103" s="13">
        <v>20</v>
      </c>
      <c r="M103" s="13">
        <v>400</v>
      </c>
      <c r="N103" s="13">
        <v>7</v>
      </c>
      <c r="O103" s="14">
        <f t="shared" si="29"/>
        <v>0.56000000000000005</v>
      </c>
      <c r="P103" s="13"/>
      <c r="Q103" s="14"/>
      <c r="R103" s="13"/>
      <c r="T103" s="231" t="s">
        <v>19</v>
      </c>
      <c r="U103" s="231"/>
      <c r="V103" s="231"/>
      <c r="W103" s="231"/>
      <c r="X103" s="231"/>
      <c r="Y103" s="231"/>
      <c r="Z103" s="231"/>
      <c r="AA103" s="231"/>
      <c r="AC103" s="13">
        <v>1.7</v>
      </c>
      <c r="AD103" s="13">
        <v>25</v>
      </c>
      <c r="AE103" s="13">
        <v>400</v>
      </c>
      <c r="AF103" s="13">
        <v>1</v>
      </c>
      <c r="AG103" s="14">
        <f t="shared" si="26"/>
        <v>1.7000000000000001E-2</v>
      </c>
      <c r="AH103" s="13"/>
      <c r="AI103" s="14"/>
      <c r="AJ103" s="13"/>
      <c r="AU103" s="13">
        <v>3</v>
      </c>
      <c r="AV103" s="13">
        <v>12</v>
      </c>
      <c r="AW103" s="13">
        <v>400</v>
      </c>
      <c r="AX103" s="13">
        <v>2</v>
      </c>
      <c r="AY103" s="14">
        <f t="shared" si="37"/>
        <v>2.8799999999999999E-2</v>
      </c>
      <c r="AZ103" s="37"/>
      <c r="BA103" s="42"/>
      <c r="BB103" s="41"/>
      <c r="BD103" s="13">
        <v>4.5</v>
      </c>
      <c r="BE103" s="13">
        <v>15</v>
      </c>
      <c r="BF103" s="13">
        <v>400</v>
      </c>
      <c r="BG103" s="13">
        <v>19</v>
      </c>
      <c r="BH103" s="14">
        <f t="shared" si="36"/>
        <v>0.51300000000000001</v>
      </c>
      <c r="BI103" s="13"/>
      <c r="BJ103" s="14"/>
      <c r="BK103" s="13"/>
      <c r="BM103" s="13">
        <v>2.2000000000000002</v>
      </c>
      <c r="BN103" s="13">
        <v>10</v>
      </c>
      <c r="BO103" s="13">
        <v>400</v>
      </c>
      <c r="BP103" s="13">
        <v>14</v>
      </c>
      <c r="BQ103" s="14">
        <f t="shared" si="38"/>
        <v>0.1232</v>
      </c>
      <c r="BR103" s="13"/>
      <c r="BS103" s="14"/>
      <c r="BT103" s="13"/>
      <c r="BV103" s="13">
        <v>7</v>
      </c>
      <c r="BW103" s="13">
        <v>10</v>
      </c>
      <c r="BX103" s="13">
        <v>400</v>
      </c>
      <c r="BY103" s="13">
        <v>1</v>
      </c>
      <c r="BZ103" s="14">
        <f t="shared" si="33"/>
        <v>2.8000000000000001E-2</v>
      </c>
      <c r="CA103" s="13"/>
      <c r="CB103" s="14"/>
      <c r="CC103" s="13"/>
      <c r="CE103" s="122">
        <v>4</v>
      </c>
      <c r="CF103" s="122">
        <v>6</v>
      </c>
      <c r="CG103" s="122">
        <v>400</v>
      </c>
      <c r="CH103" s="122">
        <v>42</v>
      </c>
      <c r="CI103" s="123">
        <f t="shared" si="34"/>
        <v>0.4032</v>
      </c>
      <c r="CJ103" s="122"/>
      <c r="CK103" s="123"/>
      <c r="CL103" s="126"/>
      <c r="CN103" s="28" t="s">
        <v>16</v>
      </c>
      <c r="CO103" s="27" t="s">
        <v>169</v>
      </c>
      <c r="CP103" s="26"/>
      <c r="CQ103" s="26"/>
      <c r="CR103" s="26"/>
      <c r="CS103" s="26"/>
      <c r="CW103" s="28" t="s">
        <v>16</v>
      </c>
      <c r="CX103" s="27" t="s">
        <v>178</v>
      </c>
      <c r="CY103" s="26"/>
      <c r="CZ103" s="26"/>
      <c r="DA103" s="26"/>
      <c r="DB103" s="26"/>
      <c r="DC103" s="196"/>
      <c r="DD103" s="196"/>
      <c r="DF103" s="61">
        <v>4.5</v>
      </c>
      <c r="DG103" s="61">
        <v>15</v>
      </c>
      <c r="DH103" s="61">
        <v>400</v>
      </c>
      <c r="DI103" s="61">
        <v>6</v>
      </c>
      <c r="DJ103" s="63">
        <f>DF103*DG103*DH103*DI103/1000000</f>
        <v>0.16200000000000001</v>
      </c>
      <c r="DK103" s="61"/>
      <c r="DL103" s="63"/>
      <c r="DM103" s="13"/>
    </row>
    <row r="104" spans="2:117" ht="15.75" x14ac:dyDescent="0.25">
      <c r="B104" s="8" t="s">
        <v>46</v>
      </c>
      <c r="C104" s="4"/>
      <c r="D104" s="4"/>
      <c r="E104" s="4"/>
      <c r="F104" s="4"/>
      <c r="G104" s="8" t="s">
        <v>120</v>
      </c>
      <c r="H104" s="4"/>
      <c r="I104" s="4"/>
      <c r="K104" s="13">
        <v>8</v>
      </c>
      <c r="L104" s="13">
        <v>20</v>
      </c>
      <c r="M104" s="13">
        <v>400</v>
      </c>
      <c r="N104" s="13">
        <v>2</v>
      </c>
      <c r="O104" s="14">
        <f t="shared" si="29"/>
        <v>0.128</v>
      </c>
      <c r="P104" s="13"/>
      <c r="Q104" s="14"/>
      <c r="R104" s="13"/>
      <c r="T104" s="231"/>
      <c r="U104" s="231"/>
      <c r="V104" s="231"/>
      <c r="W104" s="231"/>
      <c r="X104" s="231"/>
      <c r="Y104" s="231"/>
      <c r="Z104" s="231"/>
      <c r="AA104" s="231"/>
      <c r="AC104" s="13">
        <v>1.7</v>
      </c>
      <c r="AD104" s="13">
        <v>20</v>
      </c>
      <c r="AE104" s="13">
        <v>400</v>
      </c>
      <c r="AF104" s="13">
        <v>2</v>
      </c>
      <c r="AG104" s="14">
        <f t="shared" si="26"/>
        <v>2.7199999999999998E-2</v>
      </c>
      <c r="AH104" s="13"/>
      <c r="AI104" s="14"/>
      <c r="AJ104" s="13"/>
      <c r="AL104" s="231" t="s">
        <v>19</v>
      </c>
      <c r="AM104" s="231"/>
      <c r="AN104" s="231"/>
      <c r="AO104" s="231"/>
      <c r="AP104" s="231"/>
      <c r="AQ104" s="231"/>
      <c r="AR104" s="231"/>
      <c r="AS104" s="231"/>
      <c r="AU104" s="13">
        <v>6</v>
      </c>
      <c r="AV104" s="13">
        <v>10</v>
      </c>
      <c r="AW104" s="13">
        <v>400</v>
      </c>
      <c r="AX104" s="13">
        <v>6</v>
      </c>
      <c r="AY104" s="14">
        <f t="shared" si="37"/>
        <v>0.14399999999999999</v>
      </c>
      <c r="AZ104" s="13"/>
      <c r="BA104" s="14"/>
      <c r="BB104" s="13"/>
      <c r="BD104" s="13">
        <v>3.5</v>
      </c>
      <c r="BE104" s="13">
        <v>15</v>
      </c>
      <c r="BF104" s="13">
        <v>400</v>
      </c>
      <c r="BG104" s="13">
        <v>6</v>
      </c>
      <c r="BH104" s="14">
        <f t="shared" si="36"/>
        <v>0.126</v>
      </c>
      <c r="BI104" s="13"/>
      <c r="BJ104" s="14"/>
      <c r="BK104" s="13"/>
      <c r="BM104" s="13">
        <v>7</v>
      </c>
      <c r="BN104" s="13">
        <v>10</v>
      </c>
      <c r="BO104" s="13">
        <v>400</v>
      </c>
      <c r="BP104" s="13">
        <v>4</v>
      </c>
      <c r="BQ104" s="14">
        <f t="shared" si="38"/>
        <v>0.112</v>
      </c>
      <c r="BR104" s="13"/>
      <c r="BS104" s="14"/>
      <c r="BT104" s="13"/>
      <c r="BV104" s="13">
        <v>2.2000000000000002</v>
      </c>
      <c r="BW104" s="13">
        <v>10</v>
      </c>
      <c r="BX104" s="13">
        <v>400</v>
      </c>
      <c r="BY104" s="13">
        <v>8</v>
      </c>
      <c r="BZ104" s="14">
        <f t="shared" si="33"/>
        <v>7.0400000000000004E-2</v>
      </c>
      <c r="CA104" s="13"/>
      <c r="CB104" s="14"/>
      <c r="CC104" s="13"/>
      <c r="CE104" s="122">
        <v>3</v>
      </c>
      <c r="CF104" s="122">
        <v>5</v>
      </c>
      <c r="CG104" s="122">
        <v>400</v>
      </c>
      <c r="CH104" s="122">
        <v>600</v>
      </c>
      <c r="CI104" s="123">
        <f t="shared" si="34"/>
        <v>3.6</v>
      </c>
      <c r="CJ104" s="122"/>
      <c r="CK104" s="123"/>
      <c r="CL104" s="126"/>
      <c r="CN104" s="43"/>
      <c r="CO104" s="25"/>
      <c r="CP104" s="25"/>
      <c r="CQ104" s="25"/>
      <c r="CR104" s="25"/>
      <c r="CS104" s="225" t="s">
        <v>167</v>
      </c>
      <c r="CT104" s="225"/>
      <c r="CU104" s="225"/>
      <c r="CW104" s="43"/>
      <c r="CX104" s="25"/>
      <c r="CY104" s="25"/>
      <c r="CZ104" s="25"/>
      <c r="DA104" s="25"/>
      <c r="DB104" s="225" t="s">
        <v>179</v>
      </c>
      <c r="DC104" s="225"/>
      <c r="DD104" s="225"/>
      <c r="DF104" s="61">
        <v>3.5</v>
      </c>
      <c r="DG104" s="61">
        <v>15</v>
      </c>
      <c r="DH104" s="61">
        <v>400</v>
      </c>
      <c r="DI104" s="61">
        <v>3</v>
      </c>
      <c r="DJ104" s="63">
        <f>DF104*DG104*DH104*DI104/1000000</f>
        <v>6.3E-2</v>
      </c>
      <c r="DK104" s="64">
        <f>SUM(DI77:DI104)</f>
        <v>92</v>
      </c>
      <c r="DL104" s="69">
        <f>SUM(DJ77:DJ104)</f>
        <v>7.0986000000000002</v>
      </c>
      <c r="DM104" s="70" t="s">
        <v>23</v>
      </c>
    </row>
    <row r="105" spans="2:117" ht="15.75" x14ac:dyDescent="0.25">
      <c r="B105" s="4" t="s">
        <v>3</v>
      </c>
      <c r="C105" s="4"/>
      <c r="D105" s="6">
        <f>SUM(E27)</f>
        <v>555</v>
      </c>
      <c r="E105" s="5">
        <f>SUM(F27)</f>
        <v>11.118399999999999</v>
      </c>
      <c r="F105" s="4"/>
      <c r="G105" s="4" t="s">
        <v>118</v>
      </c>
      <c r="H105" s="6">
        <f>SUM(E100:E101,E60,E61,E25:E26)</f>
        <v>529</v>
      </c>
      <c r="I105" s="40">
        <f>SUM(F100:F101,F60,F61,F25:F26)</f>
        <v>5.416879999999999</v>
      </c>
      <c r="K105" s="13">
        <v>15</v>
      </c>
      <c r="L105" s="13">
        <v>18</v>
      </c>
      <c r="M105" s="13">
        <v>400</v>
      </c>
      <c r="N105" s="13">
        <v>1</v>
      </c>
      <c r="O105" s="14">
        <f t="shared" si="29"/>
        <v>0.108</v>
      </c>
      <c r="P105" s="13">
        <f>SUM(N101:N105)</f>
        <v>22</v>
      </c>
      <c r="Q105" s="14">
        <f>SUM(O101:O105)</f>
        <v>1.996</v>
      </c>
      <c r="R105" s="13"/>
      <c r="T105" s="28" t="s">
        <v>18</v>
      </c>
      <c r="U105" s="27" t="s">
        <v>17</v>
      </c>
      <c r="V105" s="26"/>
      <c r="W105" s="26"/>
      <c r="X105" s="26"/>
      <c r="Y105" s="26"/>
      <c r="Z105" s="26"/>
      <c r="AA105" s="26"/>
      <c r="AC105" s="13">
        <v>1.7</v>
      </c>
      <c r="AD105" s="13">
        <v>18</v>
      </c>
      <c r="AE105" s="13">
        <v>400</v>
      </c>
      <c r="AF105" s="13">
        <v>1</v>
      </c>
      <c r="AG105" s="14">
        <f t="shared" si="26"/>
        <v>1.2239999999999999E-2</v>
      </c>
      <c r="AH105" s="13"/>
      <c r="AI105" s="14"/>
      <c r="AJ105" s="13"/>
      <c r="AL105" s="231"/>
      <c r="AM105" s="231"/>
      <c r="AN105" s="231"/>
      <c r="AO105" s="231"/>
      <c r="AP105" s="231"/>
      <c r="AQ105" s="231"/>
      <c r="AR105" s="231"/>
      <c r="AS105" s="231"/>
      <c r="AU105" s="13">
        <v>5</v>
      </c>
      <c r="AV105" s="13">
        <v>10</v>
      </c>
      <c r="AW105" s="13">
        <v>400</v>
      </c>
      <c r="AX105" s="13">
        <v>6</v>
      </c>
      <c r="AY105" s="14">
        <f t="shared" si="37"/>
        <v>0.12</v>
      </c>
      <c r="AZ105" s="13"/>
      <c r="BA105" s="14"/>
      <c r="BB105" s="13"/>
      <c r="BD105" s="13">
        <v>2.2000000000000002</v>
      </c>
      <c r="BE105" s="13">
        <v>15</v>
      </c>
      <c r="BF105" s="13">
        <v>400</v>
      </c>
      <c r="BG105" s="13">
        <v>3</v>
      </c>
      <c r="BH105" s="14">
        <f t="shared" si="36"/>
        <v>3.9600000000000003E-2</v>
      </c>
      <c r="BI105" s="13"/>
      <c r="BJ105" s="14"/>
      <c r="BK105" s="13"/>
      <c r="BM105" s="13">
        <v>3.5</v>
      </c>
      <c r="BN105" s="13">
        <v>10</v>
      </c>
      <c r="BO105" s="13">
        <v>400</v>
      </c>
      <c r="BP105" s="13">
        <v>6</v>
      </c>
      <c r="BQ105" s="14">
        <f t="shared" si="38"/>
        <v>8.4000000000000005E-2</v>
      </c>
      <c r="BR105" s="13"/>
      <c r="BS105" s="14"/>
      <c r="BT105" s="13"/>
      <c r="BV105" s="13">
        <v>3.5</v>
      </c>
      <c r="BW105" s="13">
        <v>10</v>
      </c>
      <c r="BX105" s="13">
        <v>400</v>
      </c>
      <c r="BY105" s="13">
        <v>2</v>
      </c>
      <c r="BZ105" s="14">
        <f t="shared" si="33"/>
        <v>2.8000000000000001E-2</v>
      </c>
      <c r="CA105" s="13"/>
      <c r="CB105" s="14"/>
      <c r="CC105" s="13"/>
      <c r="CE105" s="122">
        <v>2</v>
      </c>
      <c r="CF105" s="122">
        <v>3</v>
      </c>
      <c r="CG105" s="122">
        <v>400</v>
      </c>
      <c r="CH105" s="122">
        <v>950</v>
      </c>
      <c r="CI105" s="123">
        <f t="shared" si="34"/>
        <v>2.2799999999999998</v>
      </c>
      <c r="CJ105" s="122"/>
      <c r="CK105" s="123"/>
      <c r="CL105" s="126"/>
      <c r="CN105" s="226" t="s">
        <v>13</v>
      </c>
      <c r="CO105" s="227"/>
      <c r="CP105" s="228"/>
      <c r="CQ105" s="227" t="s">
        <v>12</v>
      </c>
      <c r="CR105" s="228"/>
      <c r="CS105" s="227" t="s">
        <v>12</v>
      </c>
      <c r="CT105" s="228"/>
      <c r="CU105" s="229" t="s">
        <v>11</v>
      </c>
      <c r="CW105" s="226" t="s">
        <v>13</v>
      </c>
      <c r="CX105" s="227"/>
      <c r="CY105" s="228"/>
      <c r="CZ105" s="227" t="s">
        <v>12</v>
      </c>
      <c r="DA105" s="228"/>
      <c r="DB105" s="226" t="s">
        <v>12</v>
      </c>
      <c r="DC105" s="228"/>
      <c r="DD105" s="229" t="s">
        <v>11</v>
      </c>
      <c r="DF105" s="122">
        <v>5</v>
      </c>
      <c r="DG105" s="122">
        <v>7</v>
      </c>
      <c r="DH105" s="122">
        <v>400</v>
      </c>
      <c r="DI105" s="122">
        <v>76</v>
      </c>
      <c r="DJ105" s="123">
        <f>DF105*DG105*DH105*DI105/1000000</f>
        <v>1.0640000000000001</v>
      </c>
      <c r="DK105" s="133"/>
      <c r="DL105" s="161"/>
      <c r="DM105" s="126"/>
    </row>
    <row r="106" spans="2:117" ht="15.75" x14ac:dyDescent="0.25">
      <c r="B106" s="4" t="s">
        <v>2</v>
      </c>
      <c r="C106" s="4"/>
      <c r="D106" s="6">
        <f>SUM(E62)</f>
        <v>419</v>
      </c>
      <c r="E106" s="5">
        <f>SUM(F62)</f>
        <v>12.034559999999999</v>
      </c>
      <c r="F106" s="4"/>
      <c r="G106" s="4" t="s">
        <v>119</v>
      </c>
      <c r="H106" s="6">
        <f>SUM(E97:E99,E71:E96,E58:E59,E36:E57,E8:E24,)</f>
        <v>846</v>
      </c>
      <c r="I106" s="40">
        <f>SUM(F97:F99,F71:F96,F58:F59,F36:F57,F8:F24,)</f>
        <v>28.742719999999991</v>
      </c>
      <c r="K106" s="13">
        <v>10</v>
      </c>
      <c r="L106" s="13">
        <v>18</v>
      </c>
      <c r="M106" s="13">
        <v>400</v>
      </c>
      <c r="N106" s="13">
        <v>1</v>
      </c>
      <c r="O106" s="14">
        <f t="shared" si="29"/>
        <v>7.1999999999999995E-2</v>
      </c>
      <c r="P106" s="13"/>
      <c r="Q106" s="14"/>
      <c r="R106" s="13"/>
      <c r="T106" s="28" t="s">
        <v>16</v>
      </c>
      <c r="U106" s="27" t="s">
        <v>15</v>
      </c>
      <c r="V106" s="26"/>
      <c r="W106" s="26"/>
      <c r="X106" s="26"/>
      <c r="Y106" s="26"/>
      <c r="Z106" s="26"/>
      <c r="AA106" s="26"/>
      <c r="AC106" s="13">
        <v>1.7</v>
      </c>
      <c r="AD106" s="13">
        <v>15</v>
      </c>
      <c r="AE106" s="13">
        <v>400</v>
      </c>
      <c r="AF106" s="13">
        <v>10</v>
      </c>
      <c r="AG106" s="14">
        <f t="shared" si="26"/>
        <v>0.10199999999999999</v>
      </c>
      <c r="AH106" s="13"/>
      <c r="AI106" s="14"/>
      <c r="AJ106" s="13"/>
      <c r="AL106" s="28" t="s">
        <v>18</v>
      </c>
      <c r="AM106" s="27" t="s">
        <v>34</v>
      </c>
      <c r="AN106" s="26"/>
      <c r="AO106" s="26"/>
      <c r="AP106" s="26"/>
      <c r="AQ106" s="26"/>
      <c r="AR106" s="232" t="s">
        <v>25</v>
      </c>
      <c r="AS106" s="233"/>
      <c r="AU106" s="13">
        <v>4</v>
      </c>
      <c r="AV106" s="13">
        <v>10</v>
      </c>
      <c r="AW106" s="13">
        <v>400</v>
      </c>
      <c r="AX106" s="13">
        <v>4</v>
      </c>
      <c r="AY106" s="14">
        <f t="shared" si="37"/>
        <v>6.4000000000000001E-2</v>
      </c>
      <c r="AZ106" s="13"/>
      <c r="BA106" s="14"/>
      <c r="BB106" s="13"/>
      <c r="BD106" s="13">
        <v>8</v>
      </c>
      <c r="BE106" s="13">
        <v>15</v>
      </c>
      <c r="BF106" s="13">
        <v>400</v>
      </c>
      <c r="BG106" s="13">
        <v>1</v>
      </c>
      <c r="BH106" s="14">
        <f t="shared" si="36"/>
        <v>4.8000000000000001E-2</v>
      </c>
      <c r="BI106" s="13"/>
      <c r="BJ106" s="14"/>
      <c r="BK106" s="13"/>
      <c r="BM106" s="13">
        <v>4.5</v>
      </c>
      <c r="BN106" s="13">
        <v>10</v>
      </c>
      <c r="BO106" s="13">
        <v>400</v>
      </c>
      <c r="BP106" s="13">
        <v>32</v>
      </c>
      <c r="BQ106" s="14">
        <f t="shared" si="38"/>
        <v>0.57599999999999996</v>
      </c>
      <c r="BR106" s="13"/>
      <c r="BS106" s="14"/>
      <c r="BT106" s="41"/>
      <c r="BV106" s="13">
        <v>4.5</v>
      </c>
      <c r="BW106" s="13">
        <v>25</v>
      </c>
      <c r="BX106" s="13">
        <v>400</v>
      </c>
      <c r="BY106" s="13">
        <v>1</v>
      </c>
      <c r="BZ106" s="14">
        <f t="shared" si="33"/>
        <v>4.4999999999999998E-2</v>
      </c>
      <c r="CA106" s="13"/>
      <c r="CB106" s="14"/>
      <c r="CC106" s="13"/>
      <c r="CE106" s="13">
        <v>15</v>
      </c>
      <c r="CF106" s="13">
        <v>20</v>
      </c>
      <c r="CG106" s="13">
        <v>400</v>
      </c>
      <c r="CH106" s="13">
        <v>1</v>
      </c>
      <c r="CI106" s="14">
        <f t="shared" si="34"/>
        <v>0.12</v>
      </c>
      <c r="CJ106" s="13"/>
      <c r="CK106" s="14"/>
      <c r="CL106" s="41"/>
      <c r="CN106" s="24" t="s">
        <v>10</v>
      </c>
      <c r="CO106" s="23" t="s">
        <v>9</v>
      </c>
      <c r="CP106" s="23" t="s">
        <v>8</v>
      </c>
      <c r="CQ106" s="22" t="s">
        <v>7</v>
      </c>
      <c r="CR106" s="21" t="s">
        <v>6</v>
      </c>
      <c r="CS106" s="22" t="s">
        <v>7</v>
      </c>
      <c r="CT106" s="21" t="s">
        <v>6</v>
      </c>
      <c r="CU106" s="230"/>
      <c r="CW106" s="24" t="s">
        <v>10</v>
      </c>
      <c r="CX106" s="23" t="s">
        <v>9</v>
      </c>
      <c r="CY106" s="23" t="s">
        <v>8</v>
      </c>
      <c r="CZ106" s="22" t="s">
        <v>7</v>
      </c>
      <c r="DA106" s="21" t="s">
        <v>6</v>
      </c>
      <c r="DB106" s="22" t="s">
        <v>7</v>
      </c>
      <c r="DC106" s="21" t="s">
        <v>6</v>
      </c>
      <c r="DD106" s="230"/>
      <c r="DF106" s="122">
        <v>4</v>
      </c>
      <c r="DG106" s="122">
        <v>6</v>
      </c>
      <c r="DH106" s="122">
        <v>400</v>
      </c>
      <c r="DI106" s="122">
        <v>48</v>
      </c>
      <c r="DJ106" s="123">
        <f>DF106*DG106*DH106*DI106/1000000</f>
        <v>0.46079999999999999</v>
      </c>
      <c r="DK106" s="133"/>
      <c r="DL106" s="161"/>
      <c r="DM106" s="126"/>
    </row>
    <row r="107" spans="2:117" ht="16.5" thickBot="1" x14ac:dyDescent="0.3">
      <c r="B107" s="4" t="s">
        <v>1</v>
      </c>
      <c r="C107" s="4"/>
      <c r="D107" s="6">
        <f>SUM(E102)</f>
        <v>401</v>
      </c>
      <c r="E107" s="5">
        <f>SUM(F102)</f>
        <v>11.006639999999997</v>
      </c>
      <c r="F107" s="4"/>
      <c r="G107" s="4"/>
      <c r="H107" s="3">
        <f>SUM(H105:H106)</f>
        <v>1375</v>
      </c>
      <c r="I107" s="114">
        <f>SUM(I105:I106)</f>
        <v>34.15959999999999</v>
      </c>
      <c r="K107" s="13">
        <v>8</v>
      </c>
      <c r="L107" s="13">
        <v>23</v>
      </c>
      <c r="M107" s="13">
        <v>400</v>
      </c>
      <c r="N107" s="13">
        <v>1</v>
      </c>
      <c r="O107" s="14">
        <f t="shared" si="29"/>
        <v>7.3599999999999999E-2</v>
      </c>
      <c r="P107" s="13"/>
      <c r="Q107" s="14"/>
      <c r="R107" s="13"/>
      <c r="T107" s="25"/>
      <c r="U107" s="25"/>
      <c r="V107" s="25"/>
      <c r="W107" s="25"/>
      <c r="X107" s="25"/>
      <c r="Y107" s="225" t="s">
        <v>14</v>
      </c>
      <c r="Z107" s="225"/>
      <c r="AA107" s="225"/>
      <c r="AC107" s="13">
        <v>1.7</v>
      </c>
      <c r="AD107" s="13">
        <v>13</v>
      </c>
      <c r="AE107" s="13">
        <v>400</v>
      </c>
      <c r="AF107" s="13">
        <v>7</v>
      </c>
      <c r="AG107" s="14">
        <f t="shared" si="26"/>
        <v>6.1879999999999998E-2</v>
      </c>
      <c r="AH107" s="13"/>
      <c r="AI107" s="14"/>
      <c r="AJ107" s="13"/>
      <c r="AL107" s="28" t="s">
        <v>16</v>
      </c>
      <c r="AM107" s="27" t="s">
        <v>39</v>
      </c>
      <c r="AN107" s="26"/>
      <c r="AO107" s="26"/>
      <c r="AP107" s="26"/>
      <c r="AQ107" s="26"/>
      <c r="AR107" s="234"/>
      <c r="AS107" s="235"/>
      <c r="AU107" s="13">
        <v>3</v>
      </c>
      <c r="AV107" s="13">
        <v>10</v>
      </c>
      <c r="AW107" s="13">
        <v>400</v>
      </c>
      <c r="AX107" s="13">
        <v>7</v>
      </c>
      <c r="AY107" s="14">
        <f t="shared" si="37"/>
        <v>8.4000000000000005E-2</v>
      </c>
      <c r="AZ107" s="13"/>
      <c r="BA107" s="14"/>
      <c r="BB107" s="13"/>
      <c r="BD107" s="13">
        <v>15</v>
      </c>
      <c r="BE107" s="13">
        <v>15</v>
      </c>
      <c r="BF107" s="13">
        <v>400</v>
      </c>
      <c r="BG107" s="13">
        <v>5</v>
      </c>
      <c r="BH107" s="14">
        <f t="shared" si="36"/>
        <v>0.45</v>
      </c>
      <c r="BI107" s="13"/>
      <c r="BJ107" s="14"/>
      <c r="BK107" s="13"/>
      <c r="BM107" s="13">
        <v>10</v>
      </c>
      <c r="BN107" s="13">
        <v>20</v>
      </c>
      <c r="BO107" s="13">
        <v>400</v>
      </c>
      <c r="BP107" s="13">
        <v>11</v>
      </c>
      <c r="BQ107" s="14">
        <f t="shared" si="38"/>
        <v>0.88</v>
      </c>
      <c r="BR107" s="13"/>
      <c r="BS107" s="14"/>
      <c r="BT107" s="13"/>
      <c r="BV107" s="13">
        <v>10</v>
      </c>
      <c r="BW107" s="13">
        <v>25</v>
      </c>
      <c r="BX107" s="13">
        <v>400</v>
      </c>
      <c r="BY107" s="13">
        <v>7</v>
      </c>
      <c r="BZ107" s="14">
        <f t="shared" si="33"/>
        <v>0.7</v>
      </c>
      <c r="CA107" s="13"/>
      <c r="CB107" s="14"/>
      <c r="CC107" s="13"/>
      <c r="CE107" s="122">
        <v>5</v>
      </c>
      <c r="CF107" s="122">
        <v>7</v>
      </c>
      <c r="CG107" s="122">
        <v>400</v>
      </c>
      <c r="CH107" s="122">
        <v>8</v>
      </c>
      <c r="CI107" s="123">
        <f t="shared" si="34"/>
        <v>0.112</v>
      </c>
      <c r="CJ107" s="133">
        <f>SUM(CH86:CH107)</f>
        <v>1867</v>
      </c>
      <c r="CK107" s="161">
        <f>SUM(CI86:CI107)</f>
        <v>11.588999999999999</v>
      </c>
      <c r="CL107" s="126" t="s">
        <v>23</v>
      </c>
      <c r="CN107" s="108">
        <v>15</v>
      </c>
      <c r="CO107" s="108">
        <v>25</v>
      </c>
      <c r="CP107" s="108">
        <v>400</v>
      </c>
      <c r="CQ107" s="108">
        <v>2</v>
      </c>
      <c r="CR107" s="109">
        <f t="shared" ref="CR107:CR150" si="42">CN107*CO107*CP107*CQ107/1000000</f>
        <v>0.3</v>
      </c>
      <c r="CS107" s="108"/>
      <c r="CT107" s="109"/>
      <c r="CU107" s="108"/>
      <c r="CW107" s="13">
        <v>4.5</v>
      </c>
      <c r="CX107" s="13">
        <v>25</v>
      </c>
      <c r="CY107" s="13">
        <v>400</v>
      </c>
      <c r="CZ107" s="13">
        <v>2</v>
      </c>
      <c r="DA107" s="14">
        <f t="shared" ref="DA107:DA145" si="43">CW107*CX107*CY107*CZ107/1000000</f>
        <v>0.09</v>
      </c>
      <c r="DB107" s="13"/>
      <c r="DC107" s="14"/>
      <c r="DD107" s="13"/>
      <c r="DF107" s="122">
        <v>3</v>
      </c>
      <c r="DG107" s="122">
        <v>5</v>
      </c>
      <c r="DH107" s="122">
        <v>400</v>
      </c>
      <c r="DI107" s="122">
        <v>120</v>
      </c>
      <c r="DJ107" s="123">
        <f>DF107*DG107*DH107*DI107/1000000</f>
        <v>0.72</v>
      </c>
      <c r="DK107" s="133">
        <f>SUM(DI105:DI107)</f>
        <v>244</v>
      </c>
      <c r="DL107" s="161">
        <f>SUM(DJ105:DJ107)</f>
        <v>2.2447999999999997</v>
      </c>
      <c r="DM107" s="126"/>
    </row>
    <row r="108" spans="2:117" ht="17.25" thickTop="1" thickBot="1" x14ac:dyDescent="0.3">
      <c r="B108" s="4"/>
      <c r="C108" s="4"/>
      <c r="D108" s="3">
        <f>SUM(D105:D107)</f>
        <v>1375</v>
      </c>
      <c r="E108" s="2">
        <f>SUM(E105:E107)</f>
        <v>34.159599999999998</v>
      </c>
      <c r="F108" s="4"/>
      <c r="G108" s="4"/>
      <c r="H108" s="4"/>
      <c r="I108" s="4"/>
      <c r="K108" s="13">
        <v>8</v>
      </c>
      <c r="L108" s="13">
        <v>18</v>
      </c>
      <c r="M108" s="13">
        <v>400</v>
      </c>
      <c r="N108" s="13">
        <v>1</v>
      </c>
      <c r="O108" s="14">
        <f t="shared" si="29"/>
        <v>5.7599999999999998E-2</v>
      </c>
      <c r="P108" s="13"/>
      <c r="Q108" s="14"/>
      <c r="R108" s="13"/>
      <c r="T108" s="226" t="s">
        <v>13</v>
      </c>
      <c r="U108" s="227"/>
      <c r="V108" s="228"/>
      <c r="W108" s="227" t="s">
        <v>12</v>
      </c>
      <c r="X108" s="228"/>
      <c r="Y108" s="227" t="s">
        <v>12</v>
      </c>
      <c r="Z108" s="228"/>
      <c r="AA108" s="229" t="s">
        <v>11</v>
      </c>
      <c r="AC108" s="13">
        <v>1.7</v>
      </c>
      <c r="AD108" s="13">
        <v>10</v>
      </c>
      <c r="AE108" s="13">
        <v>400</v>
      </c>
      <c r="AF108" s="13">
        <v>26</v>
      </c>
      <c r="AG108" s="14">
        <f t="shared" si="26"/>
        <v>0.17680000000000001</v>
      </c>
      <c r="AH108" s="13">
        <f>SUM(AF103:AF108)</f>
        <v>47</v>
      </c>
      <c r="AI108" s="14">
        <f>SUM(AG103:AG108)</f>
        <v>0.39712000000000003</v>
      </c>
      <c r="AJ108" s="13"/>
      <c r="AL108" s="43"/>
      <c r="AM108" s="25"/>
      <c r="AN108" s="25"/>
      <c r="AO108" s="25"/>
      <c r="AP108" s="25"/>
      <c r="AQ108" s="225" t="s">
        <v>70</v>
      </c>
      <c r="AR108" s="225"/>
      <c r="AS108" s="225"/>
      <c r="AU108" s="13">
        <v>7</v>
      </c>
      <c r="AV108" s="13">
        <v>10</v>
      </c>
      <c r="AW108" s="13">
        <v>400</v>
      </c>
      <c r="AX108" s="13">
        <v>1</v>
      </c>
      <c r="AY108" s="14">
        <f t="shared" si="37"/>
        <v>2.8000000000000001E-2</v>
      </c>
      <c r="AZ108" s="13"/>
      <c r="BA108" s="14"/>
      <c r="BB108" s="13"/>
      <c r="BD108" s="13">
        <v>7</v>
      </c>
      <c r="BE108" s="13">
        <v>10</v>
      </c>
      <c r="BF108" s="13">
        <v>400</v>
      </c>
      <c r="BG108" s="13">
        <v>8</v>
      </c>
      <c r="BH108" s="14">
        <f t="shared" si="36"/>
        <v>0.224</v>
      </c>
      <c r="BI108" s="13"/>
      <c r="BJ108" s="14"/>
      <c r="BK108" s="13"/>
      <c r="BM108" s="13">
        <v>7</v>
      </c>
      <c r="BN108" s="13">
        <v>20</v>
      </c>
      <c r="BO108" s="13">
        <v>400</v>
      </c>
      <c r="BP108" s="13">
        <v>1</v>
      </c>
      <c r="BQ108" s="14">
        <f t="shared" si="38"/>
        <v>5.6000000000000001E-2</v>
      </c>
      <c r="BR108" s="13"/>
      <c r="BS108" s="14"/>
      <c r="BT108" s="41"/>
      <c r="BV108" s="13">
        <v>7</v>
      </c>
      <c r="BW108" s="13">
        <v>25</v>
      </c>
      <c r="BX108" s="13">
        <v>400</v>
      </c>
      <c r="BY108" s="13">
        <v>2</v>
      </c>
      <c r="BZ108" s="14">
        <f t="shared" si="33"/>
        <v>0.14000000000000001</v>
      </c>
      <c r="CA108" s="13"/>
      <c r="CB108" s="14"/>
      <c r="CC108" s="13"/>
      <c r="CE108" s="115"/>
      <c r="CF108" s="115"/>
      <c r="CG108" s="115"/>
      <c r="CH108" s="17">
        <f>SUM(CH86:CH107)</f>
        <v>1867</v>
      </c>
      <c r="CI108" s="48">
        <f>SUM(CI86:CI107)</f>
        <v>11.588999999999999</v>
      </c>
      <c r="CJ108" s="17">
        <f>SUM(CJ86:CJ107)</f>
        <v>1867</v>
      </c>
      <c r="CK108" s="48">
        <f>SUM(CK86:CK107)</f>
        <v>11.588999999999999</v>
      </c>
      <c r="CL108" s="17"/>
      <c r="CN108" s="108">
        <v>15</v>
      </c>
      <c r="CO108" s="108">
        <v>20</v>
      </c>
      <c r="CP108" s="108">
        <v>400</v>
      </c>
      <c r="CQ108" s="108">
        <v>4</v>
      </c>
      <c r="CR108" s="109">
        <f t="shared" si="42"/>
        <v>0.48</v>
      </c>
      <c r="CS108" s="108"/>
      <c r="CT108" s="109"/>
      <c r="CU108" s="108"/>
      <c r="CW108" s="13">
        <v>10</v>
      </c>
      <c r="CX108" s="13">
        <v>25</v>
      </c>
      <c r="CY108" s="13">
        <v>400</v>
      </c>
      <c r="CZ108" s="13">
        <v>5</v>
      </c>
      <c r="DA108" s="14">
        <f t="shared" si="43"/>
        <v>0.5</v>
      </c>
      <c r="DB108" s="13"/>
      <c r="DC108" s="14"/>
      <c r="DD108" s="13"/>
      <c r="DF108" s="115"/>
      <c r="DG108" s="115"/>
      <c r="DH108" s="115"/>
      <c r="DI108" s="17">
        <f>SUM(DI58:DI107)</f>
        <v>427</v>
      </c>
      <c r="DJ108" s="32">
        <f>SUM(DJ58:DJ107)</f>
        <v>12.21</v>
      </c>
      <c r="DK108" s="17">
        <f>SUM(DK58:DK107)</f>
        <v>427</v>
      </c>
      <c r="DL108" s="32">
        <f>SUM(DL58:DL107)</f>
        <v>12.21</v>
      </c>
      <c r="DM108" s="146" t="s">
        <v>23</v>
      </c>
    </row>
    <row r="109" spans="2:117" ht="17.25" thickTop="1" thickBot="1" x14ac:dyDescent="0.3">
      <c r="B109" s="4"/>
      <c r="C109" s="4"/>
      <c r="D109" s="16"/>
      <c r="E109" s="15"/>
      <c r="F109" s="4"/>
      <c r="G109" s="4"/>
      <c r="H109" s="4"/>
      <c r="I109" s="4"/>
      <c r="K109" s="13">
        <v>4.2</v>
      </c>
      <c r="L109" s="13">
        <v>10</v>
      </c>
      <c r="M109" s="13">
        <v>300</v>
      </c>
      <c r="N109" s="13">
        <v>2</v>
      </c>
      <c r="O109" s="14">
        <f t="shared" si="29"/>
        <v>2.52E-2</v>
      </c>
      <c r="P109" s="13">
        <f>SUM(N106:N109)</f>
        <v>5</v>
      </c>
      <c r="Q109" s="14">
        <f>SUM(O106:O109)</f>
        <v>0.22839999999999999</v>
      </c>
      <c r="R109" s="13"/>
      <c r="T109" s="24" t="s">
        <v>10</v>
      </c>
      <c r="U109" s="23" t="s">
        <v>9</v>
      </c>
      <c r="V109" s="23" t="s">
        <v>8</v>
      </c>
      <c r="W109" s="22" t="s">
        <v>7</v>
      </c>
      <c r="X109" s="21" t="s">
        <v>6</v>
      </c>
      <c r="Y109" s="22" t="s">
        <v>7</v>
      </c>
      <c r="Z109" s="21" t="s">
        <v>6</v>
      </c>
      <c r="AA109" s="230"/>
      <c r="AC109" s="237"/>
      <c r="AD109" s="237"/>
      <c r="AE109" s="238"/>
      <c r="AF109" s="17">
        <f>SUM(AF64:AF108)</f>
        <v>935</v>
      </c>
      <c r="AG109" s="32">
        <f>SUM(AG64:AG108)</f>
        <v>12.254119999999999</v>
      </c>
      <c r="AH109" s="17">
        <f>SUM(AH64:AH108)</f>
        <v>935</v>
      </c>
      <c r="AI109" s="32">
        <f>SUM(AI64:AI108)</f>
        <v>12.254119999999999</v>
      </c>
      <c r="AJ109" s="17"/>
      <c r="AL109" s="226" t="s">
        <v>13</v>
      </c>
      <c r="AM109" s="227"/>
      <c r="AN109" s="228"/>
      <c r="AO109" s="227" t="s">
        <v>12</v>
      </c>
      <c r="AP109" s="228"/>
      <c r="AQ109" s="227" t="s">
        <v>12</v>
      </c>
      <c r="AR109" s="228"/>
      <c r="AS109" s="229" t="s">
        <v>11</v>
      </c>
      <c r="AU109" s="57">
        <v>5</v>
      </c>
      <c r="AV109" s="57">
        <v>7</v>
      </c>
      <c r="AW109" s="57">
        <v>400</v>
      </c>
      <c r="AX109" s="57">
        <v>40</v>
      </c>
      <c r="AY109" s="56">
        <f t="shared" si="37"/>
        <v>0.56000000000000005</v>
      </c>
      <c r="AZ109" s="57"/>
      <c r="BA109" s="56"/>
      <c r="BB109" s="57"/>
      <c r="BD109" s="13">
        <v>8</v>
      </c>
      <c r="BE109" s="13">
        <v>10</v>
      </c>
      <c r="BF109" s="13">
        <v>400</v>
      </c>
      <c r="BG109" s="13">
        <v>2</v>
      </c>
      <c r="BH109" s="14">
        <f t="shared" si="36"/>
        <v>6.4000000000000001E-2</v>
      </c>
      <c r="BI109" s="13"/>
      <c r="BJ109" s="14"/>
      <c r="BK109" s="13"/>
      <c r="BM109" s="13">
        <v>4.5</v>
      </c>
      <c r="BN109" s="13">
        <v>15</v>
      </c>
      <c r="BO109" s="13">
        <v>400</v>
      </c>
      <c r="BP109" s="13">
        <v>1</v>
      </c>
      <c r="BQ109" s="14">
        <f t="shared" si="38"/>
        <v>2.7E-2</v>
      </c>
      <c r="BR109" s="13"/>
      <c r="BS109" s="14"/>
      <c r="BT109" s="41"/>
      <c r="BV109" s="13">
        <v>15</v>
      </c>
      <c r="BW109" s="13">
        <v>25</v>
      </c>
      <c r="BX109" s="13">
        <v>400</v>
      </c>
      <c r="BY109" s="13">
        <v>3</v>
      </c>
      <c r="BZ109" s="14">
        <f t="shared" si="33"/>
        <v>0.45</v>
      </c>
      <c r="CA109" s="13"/>
      <c r="CB109" s="14"/>
      <c r="CC109" s="13"/>
      <c r="CN109" s="108">
        <v>12</v>
      </c>
      <c r="CO109" s="108">
        <v>20</v>
      </c>
      <c r="CP109" s="108">
        <v>400</v>
      </c>
      <c r="CQ109" s="108">
        <v>4</v>
      </c>
      <c r="CR109" s="109">
        <f t="shared" si="42"/>
        <v>0.38400000000000001</v>
      </c>
      <c r="CS109" s="108"/>
      <c r="CT109" s="109"/>
      <c r="CU109" s="108"/>
      <c r="CW109" s="13">
        <v>13</v>
      </c>
      <c r="CX109" s="13">
        <v>23</v>
      </c>
      <c r="CY109" s="13">
        <v>400</v>
      </c>
      <c r="CZ109" s="13">
        <v>1</v>
      </c>
      <c r="DA109" s="14">
        <f t="shared" si="43"/>
        <v>0.1196</v>
      </c>
      <c r="DB109" s="13"/>
      <c r="DC109" s="14"/>
      <c r="DD109" s="13"/>
    </row>
    <row r="110" spans="2:117" ht="17.25" thickTop="1" thickBot="1" x14ac:dyDescent="0.3">
      <c r="B110" s="4"/>
      <c r="C110" s="4"/>
      <c r="D110" s="16"/>
      <c r="E110" s="15"/>
      <c r="F110" s="4"/>
      <c r="G110" s="4"/>
      <c r="H110" s="4"/>
      <c r="I110" s="4"/>
      <c r="N110" s="17">
        <f>SUM(N71:N109)</f>
        <v>793</v>
      </c>
      <c r="O110" s="18">
        <f>SUM(O71:O109)</f>
        <v>12.044040000000001</v>
      </c>
      <c r="P110" s="17">
        <f>SUM(P71:P109)</f>
        <v>793</v>
      </c>
      <c r="Q110" s="18">
        <f>SUM(Q71:Q109)</f>
        <v>12.044040000000001</v>
      </c>
      <c r="R110" s="17"/>
      <c r="T110" s="13">
        <v>15</v>
      </c>
      <c r="U110" s="13">
        <v>25</v>
      </c>
      <c r="V110" s="13">
        <v>400</v>
      </c>
      <c r="W110" s="13">
        <v>1</v>
      </c>
      <c r="X110" s="14">
        <f t="shared" ref="X110:X145" si="44">T110*U110*V110*W110/1000000</f>
        <v>0.15</v>
      </c>
      <c r="Y110" s="13"/>
      <c r="Z110" s="14"/>
      <c r="AA110" s="13"/>
      <c r="AL110" s="24" t="s">
        <v>10</v>
      </c>
      <c r="AM110" s="23" t="s">
        <v>9</v>
      </c>
      <c r="AN110" s="23" t="s">
        <v>8</v>
      </c>
      <c r="AO110" s="22" t="s">
        <v>7</v>
      </c>
      <c r="AP110" s="21" t="s">
        <v>6</v>
      </c>
      <c r="AQ110" s="22" t="s">
        <v>7</v>
      </c>
      <c r="AR110" s="21" t="s">
        <v>6</v>
      </c>
      <c r="AS110" s="230"/>
      <c r="AU110" s="57">
        <v>4</v>
      </c>
      <c r="AV110" s="57">
        <v>6</v>
      </c>
      <c r="AW110" s="57">
        <v>400</v>
      </c>
      <c r="AX110" s="57">
        <v>72</v>
      </c>
      <c r="AY110" s="56">
        <f t="shared" si="37"/>
        <v>0.69120000000000004</v>
      </c>
      <c r="AZ110" s="57"/>
      <c r="BA110" s="56"/>
      <c r="BB110" s="57"/>
      <c r="BD110" s="13">
        <v>2.2000000000000002</v>
      </c>
      <c r="BE110" s="13">
        <v>10</v>
      </c>
      <c r="BF110" s="13">
        <v>400</v>
      </c>
      <c r="BG110" s="13">
        <v>10</v>
      </c>
      <c r="BH110" s="14">
        <f t="shared" si="36"/>
        <v>8.7999999999999995E-2</v>
      </c>
      <c r="BI110" s="13"/>
      <c r="BJ110" s="14"/>
      <c r="BK110" s="13"/>
      <c r="BM110" s="13">
        <v>10</v>
      </c>
      <c r="BN110" s="13">
        <v>13</v>
      </c>
      <c r="BO110" s="13">
        <v>400</v>
      </c>
      <c r="BP110" s="13">
        <v>4</v>
      </c>
      <c r="BQ110" s="14">
        <f t="shared" si="38"/>
        <v>0.20799999999999999</v>
      </c>
      <c r="BR110" s="13"/>
      <c r="BS110" s="14"/>
      <c r="BT110" s="13"/>
      <c r="BV110" s="13">
        <v>4.5</v>
      </c>
      <c r="BW110" s="13">
        <v>30</v>
      </c>
      <c r="BX110" s="13">
        <v>400</v>
      </c>
      <c r="BY110" s="13">
        <v>1</v>
      </c>
      <c r="BZ110" s="14">
        <f t="shared" si="33"/>
        <v>5.3999999999999999E-2</v>
      </c>
      <c r="CA110" s="13"/>
      <c r="CB110" s="14"/>
      <c r="CC110" s="13"/>
      <c r="CE110" s="231" t="s">
        <v>19</v>
      </c>
      <c r="CF110" s="231"/>
      <c r="CG110" s="231"/>
      <c r="CH110" s="231"/>
      <c r="CI110" s="231"/>
      <c r="CJ110" s="231"/>
      <c r="CK110" s="231"/>
      <c r="CL110" s="231"/>
      <c r="CN110" s="13">
        <v>10</v>
      </c>
      <c r="CO110" s="13">
        <v>15</v>
      </c>
      <c r="CP110" s="13">
        <v>400</v>
      </c>
      <c r="CQ110" s="13">
        <v>3</v>
      </c>
      <c r="CR110" s="14">
        <f t="shared" si="42"/>
        <v>0.18</v>
      </c>
      <c r="CS110" s="13"/>
      <c r="CT110" s="14"/>
      <c r="CU110" s="13"/>
      <c r="CW110" s="13">
        <v>10</v>
      </c>
      <c r="CX110" s="13">
        <v>20</v>
      </c>
      <c r="CY110" s="13">
        <v>400</v>
      </c>
      <c r="CZ110" s="13">
        <v>9</v>
      </c>
      <c r="DA110" s="14">
        <f t="shared" si="43"/>
        <v>0.72</v>
      </c>
      <c r="DB110" s="13"/>
      <c r="DC110" s="14"/>
      <c r="DD110" s="13"/>
      <c r="DF110" s="231" t="s">
        <v>19</v>
      </c>
      <c r="DG110" s="231"/>
      <c r="DH110" s="231"/>
      <c r="DI110" s="231"/>
      <c r="DJ110" s="231"/>
      <c r="DK110" s="231"/>
      <c r="DL110" s="231"/>
      <c r="DM110" s="231"/>
    </row>
    <row r="111" spans="2:117" ht="16.5" thickTop="1" x14ac:dyDescent="0.25">
      <c r="B111" s="231" t="s">
        <v>19</v>
      </c>
      <c r="C111" s="231"/>
      <c r="D111" s="231"/>
      <c r="E111" s="231"/>
      <c r="F111" s="231"/>
      <c r="G111" s="231"/>
      <c r="H111" s="231"/>
      <c r="I111" s="231"/>
      <c r="T111" s="13">
        <v>15</v>
      </c>
      <c r="U111" s="13">
        <v>20</v>
      </c>
      <c r="V111" s="13">
        <v>400</v>
      </c>
      <c r="W111" s="13">
        <v>1</v>
      </c>
      <c r="X111" s="14">
        <f t="shared" si="44"/>
        <v>0.12</v>
      </c>
      <c r="Y111" s="13"/>
      <c r="Z111" s="14"/>
      <c r="AA111" s="13"/>
      <c r="AC111" s="231" t="s">
        <v>19</v>
      </c>
      <c r="AD111" s="231"/>
      <c r="AE111" s="231"/>
      <c r="AF111" s="231"/>
      <c r="AG111" s="231"/>
      <c r="AH111" s="231"/>
      <c r="AI111" s="231"/>
      <c r="AJ111" s="231"/>
      <c r="AL111" s="13">
        <v>15</v>
      </c>
      <c r="AM111" s="13">
        <v>15</v>
      </c>
      <c r="AN111" s="13">
        <v>400</v>
      </c>
      <c r="AO111" s="13">
        <v>10</v>
      </c>
      <c r="AP111" s="14">
        <f t="shared" ref="AP111:AP142" si="45">AL111*AM111*AN111*AO111/1000000</f>
        <v>0.9</v>
      </c>
      <c r="AQ111" s="13"/>
      <c r="AR111" s="14"/>
      <c r="AS111" s="13"/>
      <c r="AU111" s="57">
        <v>3</v>
      </c>
      <c r="AV111" s="57">
        <v>5</v>
      </c>
      <c r="AW111" s="57">
        <v>400</v>
      </c>
      <c r="AX111" s="57">
        <v>140</v>
      </c>
      <c r="AY111" s="56">
        <f t="shared" si="37"/>
        <v>0.84</v>
      </c>
      <c r="AZ111" s="57"/>
      <c r="BA111" s="56"/>
      <c r="BB111" s="57"/>
      <c r="BD111" s="13">
        <v>4.5</v>
      </c>
      <c r="BE111" s="13">
        <v>10</v>
      </c>
      <c r="BF111" s="13">
        <v>400</v>
      </c>
      <c r="BG111" s="13">
        <v>10</v>
      </c>
      <c r="BH111" s="14">
        <f t="shared" si="36"/>
        <v>0.18</v>
      </c>
      <c r="BI111" s="13"/>
      <c r="BJ111" s="14"/>
      <c r="BK111" s="13"/>
      <c r="BM111" s="13">
        <v>4.5</v>
      </c>
      <c r="BN111" s="13">
        <v>15</v>
      </c>
      <c r="BO111" s="13">
        <v>400</v>
      </c>
      <c r="BP111" s="13">
        <v>5</v>
      </c>
      <c r="BQ111" s="14">
        <f t="shared" si="38"/>
        <v>0.13500000000000001</v>
      </c>
      <c r="BR111" s="13"/>
      <c r="BS111" s="14"/>
      <c r="BT111" s="13"/>
      <c r="BV111" s="13">
        <v>15</v>
      </c>
      <c r="BW111" s="13">
        <v>30</v>
      </c>
      <c r="BX111" s="13">
        <v>400</v>
      </c>
      <c r="BY111" s="13">
        <v>2</v>
      </c>
      <c r="BZ111" s="14">
        <f t="shared" si="33"/>
        <v>0.36</v>
      </c>
      <c r="CA111" s="13"/>
      <c r="CB111" s="14"/>
      <c r="CC111" s="13"/>
      <c r="CE111" s="231"/>
      <c r="CF111" s="231"/>
      <c r="CG111" s="231"/>
      <c r="CH111" s="231"/>
      <c r="CI111" s="231"/>
      <c r="CJ111" s="231"/>
      <c r="CK111" s="231"/>
      <c r="CL111" s="231"/>
      <c r="CN111" s="13">
        <v>10</v>
      </c>
      <c r="CO111" s="13">
        <v>20</v>
      </c>
      <c r="CP111" s="13">
        <v>400</v>
      </c>
      <c r="CQ111" s="13">
        <v>1</v>
      </c>
      <c r="CR111" s="14">
        <f t="shared" si="42"/>
        <v>0.08</v>
      </c>
      <c r="CS111" s="13"/>
      <c r="CT111" s="14"/>
      <c r="CU111" s="13"/>
      <c r="CW111" s="13">
        <v>13</v>
      </c>
      <c r="CX111" s="13">
        <v>25</v>
      </c>
      <c r="CY111" s="13">
        <v>400</v>
      </c>
      <c r="CZ111" s="13">
        <v>4</v>
      </c>
      <c r="DA111" s="14">
        <f t="shared" si="43"/>
        <v>0.52</v>
      </c>
      <c r="DB111" s="13"/>
      <c r="DC111" s="14"/>
      <c r="DD111" s="13"/>
      <c r="DF111" s="231"/>
      <c r="DG111" s="231"/>
      <c r="DH111" s="231"/>
      <c r="DI111" s="231"/>
      <c r="DJ111" s="231"/>
      <c r="DK111" s="231"/>
      <c r="DL111" s="231"/>
      <c r="DM111" s="231"/>
    </row>
    <row r="112" spans="2:117" ht="15.75" x14ac:dyDescent="0.25">
      <c r="B112" s="231"/>
      <c r="C112" s="231"/>
      <c r="D112" s="231"/>
      <c r="E112" s="231"/>
      <c r="F112" s="231"/>
      <c r="G112" s="231"/>
      <c r="H112" s="231"/>
      <c r="I112" s="231"/>
      <c r="K112" s="231" t="s">
        <v>19</v>
      </c>
      <c r="L112" s="231"/>
      <c r="M112" s="231"/>
      <c r="N112" s="231"/>
      <c r="O112" s="231"/>
      <c r="P112" s="231"/>
      <c r="Q112" s="231"/>
      <c r="R112" s="231"/>
      <c r="T112" s="13">
        <v>15</v>
      </c>
      <c r="U112" s="13">
        <v>18</v>
      </c>
      <c r="V112" s="13">
        <v>400</v>
      </c>
      <c r="W112" s="13">
        <v>1</v>
      </c>
      <c r="X112" s="14">
        <f t="shared" si="44"/>
        <v>0.108</v>
      </c>
      <c r="Y112" s="13"/>
      <c r="Z112" s="14"/>
      <c r="AA112" s="13"/>
      <c r="AC112" s="231"/>
      <c r="AD112" s="231"/>
      <c r="AE112" s="231"/>
      <c r="AF112" s="231"/>
      <c r="AG112" s="231"/>
      <c r="AH112" s="231"/>
      <c r="AI112" s="231"/>
      <c r="AJ112" s="231"/>
      <c r="AL112" s="13">
        <v>12</v>
      </c>
      <c r="AM112" s="13">
        <v>15</v>
      </c>
      <c r="AN112" s="13">
        <v>400</v>
      </c>
      <c r="AO112" s="13">
        <v>9</v>
      </c>
      <c r="AP112" s="14">
        <f t="shared" si="45"/>
        <v>0.64800000000000002</v>
      </c>
      <c r="AQ112" s="13"/>
      <c r="AR112" s="14"/>
      <c r="AS112" s="13"/>
      <c r="AU112" s="57">
        <v>2</v>
      </c>
      <c r="AV112" s="57">
        <v>3</v>
      </c>
      <c r="AW112" s="57">
        <v>400</v>
      </c>
      <c r="AX112" s="57">
        <v>275</v>
      </c>
      <c r="AY112" s="56">
        <f t="shared" si="37"/>
        <v>0.66</v>
      </c>
      <c r="AZ112" s="159"/>
      <c r="BA112" s="160"/>
      <c r="BB112" s="140"/>
      <c r="BD112" s="13">
        <v>10</v>
      </c>
      <c r="BE112" s="13">
        <v>10</v>
      </c>
      <c r="BF112" s="13">
        <v>400</v>
      </c>
      <c r="BG112" s="13">
        <v>1</v>
      </c>
      <c r="BH112" s="14">
        <f t="shared" si="36"/>
        <v>0.04</v>
      </c>
      <c r="BI112" s="13"/>
      <c r="BJ112" s="14"/>
      <c r="BK112" s="13"/>
      <c r="BM112" s="13">
        <v>3.5</v>
      </c>
      <c r="BN112" s="13">
        <v>15</v>
      </c>
      <c r="BO112" s="13">
        <v>400</v>
      </c>
      <c r="BP112" s="13">
        <v>3</v>
      </c>
      <c r="BQ112" s="14">
        <f t="shared" si="38"/>
        <v>6.3E-2</v>
      </c>
      <c r="BR112" s="13"/>
      <c r="BS112" s="14"/>
      <c r="BT112" s="13"/>
      <c r="BV112" s="13">
        <v>10</v>
      </c>
      <c r="BW112" s="13">
        <v>13</v>
      </c>
      <c r="BX112" s="13">
        <v>400</v>
      </c>
      <c r="BY112" s="13">
        <v>1</v>
      </c>
      <c r="BZ112" s="14">
        <f t="shared" si="33"/>
        <v>5.1999999999999998E-2</v>
      </c>
      <c r="CA112" s="13"/>
      <c r="CB112" s="14"/>
      <c r="CC112" s="13"/>
      <c r="CE112" s="28" t="s">
        <v>18</v>
      </c>
      <c r="CF112" s="27" t="s">
        <v>97</v>
      </c>
      <c r="CG112" s="26"/>
      <c r="CH112" s="26"/>
      <c r="CI112" s="26"/>
      <c r="CJ112" s="26"/>
      <c r="CK112" s="26"/>
      <c r="CL112" s="26"/>
      <c r="CN112" s="13">
        <v>15</v>
      </c>
      <c r="CO112" s="13">
        <v>17</v>
      </c>
      <c r="CP112" s="13">
        <v>400</v>
      </c>
      <c r="CQ112" s="13">
        <v>2</v>
      </c>
      <c r="CR112" s="14">
        <f t="shared" si="42"/>
        <v>0.20399999999999999</v>
      </c>
      <c r="CS112" s="13"/>
      <c r="CT112" s="14"/>
      <c r="CU112" s="41"/>
      <c r="CW112" s="13">
        <v>15</v>
      </c>
      <c r="CX112" s="13">
        <v>25</v>
      </c>
      <c r="CY112" s="13">
        <v>400</v>
      </c>
      <c r="CZ112" s="13">
        <v>1</v>
      </c>
      <c r="DA112" s="14">
        <f t="shared" si="43"/>
        <v>0.15</v>
      </c>
      <c r="DB112" s="13"/>
      <c r="DC112" s="14"/>
      <c r="DD112" s="41"/>
      <c r="DF112" s="28" t="s">
        <v>18</v>
      </c>
      <c r="DG112" s="27" t="s">
        <v>177</v>
      </c>
      <c r="DH112" s="26"/>
      <c r="DI112" s="26"/>
      <c r="DJ112" s="26"/>
      <c r="DK112" s="26"/>
      <c r="DL112" s="196"/>
      <c r="DM112" s="196"/>
    </row>
    <row r="113" spans="2:117" ht="15.75" x14ac:dyDescent="0.25">
      <c r="B113" s="28" t="s">
        <v>18</v>
      </c>
      <c r="C113" s="27" t="s">
        <v>34</v>
      </c>
      <c r="D113" s="26"/>
      <c r="E113" s="26"/>
      <c r="F113" s="26"/>
      <c r="G113" s="26"/>
      <c r="H113" s="232" t="s">
        <v>144</v>
      </c>
      <c r="I113" s="233"/>
      <c r="K113" s="231"/>
      <c r="L113" s="231"/>
      <c r="M113" s="231"/>
      <c r="N113" s="231"/>
      <c r="O113" s="231"/>
      <c r="P113" s="231"/>
      <c r="Q113" s="231"/>
      <c r="R113" s="231"/>
      <c r="T113" s="13">
        <v>15</v>
      </c>
      <c r="U113" s="13">
        <v>15</v>
      </c>
      <c r="V113" s="13">
        <v>400</v>
      </c>
      <c r="W113" s="13">
        <v>1</v>
      </c>
      <c r="X113" s="14">
        <f t="shared" si="44"/>
        <v>0.09</v>
      </c>
      <c r="Y113" s="13">
        <f>SUM(W110:W113)</f>
        <v>4</v>
      </c>
      <c r="Z113" s="14">
        <f>SUM(X110:X113)</f>
        <v>0.46799999999999997</v>
      </c>
      <c r="AA113" s="13"/>
      <c r="AC113" s="28" t="s">
        <v>18</v>
      </c>
      <c r="AD113" s="27" t="s">
        <v>34</v>
      </c>
      <c r="AE113" s="26"/>
      <c r="AF113" s="26"/>
      <c r="AG113" s="26"/>
      <c r="AH113" s="26"/>
      <c r="AI113" s="26"/>
      <c r="AJ113" s="26"/>
      <c r="AL113" s="13">
        <v>8</v>
      </c>
      <c r="AM113" s="13">
        <v>15</v>
      </c>
      <c r="AN113" s="13">
        <v>400</v>
      </c>
      <c r="AO113" s="13">
        <v>1</v>
      </c>
      <c r="AP113" s="14">
        <f t="shared" si="45"/>
        <v>4.8000000000000001E-2</v>
      </c>
      <c r="AQ113" s="13"/>
      <c r="AR113" s="14"/>
      <c r="AS113" s="13"/>
      <c r="AU113" s="13">
        <v>6</v>
      </c>
      <c r="AV113" s="13">
        <v>15</v>
      </c>
      <c r="AW113" s="13">
        <v>300</v>
      </c>
      <c r="AX113" s="13">
        <v>3</v>
      </c>
      <c r="AY113" s="14">
        <f t="shared" si="37"/>
        <v>8.1000000000000003E-2</v>
      </c>
      <c r="AZ113" s="37"/>
      <c r="BA113" s="42"/>
      <c r="BB113" s="41"/>
      <c r="BD113" s="13">
        <v>3.5</v>
      </c>
      <c r="BE113" s="13">
        <v>20</v>
      </c>
      <c r="BF113" s="13">
        <v>400</v>
      </c>
      <c r="BG113" s="13">
        <v>1</v>
      </c>
      <c r="BH113" s="14">
        <f t="shared" si="36"/>
        <v>2.8000000000000001E-2</v>
      </c>
      <c r="BI113" s="13"/>
      <c r="BJ113" s="14"/>
      <c r="BK113" s="13"/>
      <c r="BM113" s="13">
        <v>4.5</v>
      </c>
      <c r="BN113" s="13">
        <v>13</v>
      </c>
      <c r="BO113" s="13">
        <v>400</v>
      </c>
      <c r="BP113" s="13">
        <v>8</v>
      </c>
      <c r="BQ113" s="14">
        <f t="shared" si="38"/>
        <v>0.18720000000000001</v>
      </c>
      <c r="BR113" s="13"/>
      <c r="BS113" s="14"/>
      <c r="BT113" s="13"/>
      <c r="BV113" s="13">
        <v>8</v>
      </c>
      <c r="BW113" s="13">
        <v>15</v>
      </c>
      <c r="BX113" s="13">
        <v>400</v>
      </c>
      <c r="BY113" s="13">
        <v>1</v>
      </c>
      <c r="BZ113" s="14">
        <f t="shared" si="33"/>
        <v>4.8000000000000001E-2</v>
      </c>
      <c r="CA113" s="13"/>
      <c r="CB113" s="14"/>
      <c r="CC113" s="13"/>
      <c r="CE113" s="28" t="s">
        <v>16</v>
      </c>
      <c r="CF113" s="27" t="s">
        <v>98</v>
      </c>
      <c r="CG113" s="26"/>
      <c r="CH113" s="26"/>
      <c r="CI113" s="26"/>
      <c r="CJ113" s="26"/>
      <c r="CK113" s="26"/>
      <c r="CL113" s="26"/>
      <c r="CN113" s="13">
        <v>12</v>
      </c>
      <c r="CO113" s="13">
        <v>15</v>
      </c>
      <c r="CP113" s="13">
        <v>400</v>
      </c>
      <c r="CQ113" s="13">
        <v>3</v>
      </c>
      <c r="CR113" s="14">
        <f t="shared" si="42"/>
        <v>0.216</v>
      </c>
      <c r="CS113" s="13"/>
      <c r="CT113" s="14"/>
      <c r="CU113" s="41"/>
      <c r="CW113" s="13">
        <v>13</v>
      </c>
      <c r="CX113" s="13">
        <v>30</v>
      </c>
      <c r="CY113" s="13">
        <v>400</v>
      </c>
      <c r="CZ113" s="13">
        <v>1</v>
      </c>
      <c r="DA113" s="14">
        <f t="shared" si="43"/>
        <v>0.156</v>
      </c>
      <c r="DB113" s="13"/>
      <c r="DC113" s="14"/>
      <c r="DD113" s="41"/>
      <c r="DF113" s="28" t="s">
        <v>16</v>
      </c>
      <c r="DG113" s="27" t="s">
        <v>169</v>
      </c>
      <c r="DH113" s="26"/>
      <c r="DI113" s="26"/>
      <c r="DJ113" s="26"/>
      <c r="DK113" s="26"/>
      <c r="DL113" s="196"/>
      <c r="DM113" s="196"/>
    </row>
    <row r="114" spans="2:117" ht="15.75" x14ac:dyDescent="0.25">
      <c r="B114" s="28" t="s">
        <v>16</v>
      </c>
      <c r="C114" s="27" t="s">
        <v>33</v>
      </c>
      <c r="D114" s="26"/>
      <c r="E114" s="26"/>
      <c r="F114" s="26"/>
      <c r="G114" s="26"/>
      <c r="H114" s="234"/>
      <c r="I114" s="235"/>
      <c r="K114" s="28" t="s">
        <v>18</v>
      </c>
      <c r="L114" s="27" t="s">
        <v>17</v>
      </c>
      <c r="M114" s="26"/>
      <c r="N114" s="26"/>
      <c r="O114" s="26"/>
      <c r="P114" s="26"/>
      <c r="Q114" s="26"/>
      <c r="R114" s="26"/>
      <c r="T114" s="13">
        <v>13</v>
      </c>
      <c r="U114" s="13">
        <v>30</v>
      </c>
      <c r="V114" s="13">
        <v>400</v>
      </c>
      <c r="W114" s="13">
        <v>1</v>
      </c>
      <c r="X114" s="14">
        <f t="shared" si="44"/>
        <v>0.156</v>
      </c>
      <c r="Y114" s="13"/>
      <c r="Z114" s="14"/>
      <c r="AA114" s="13"/>
      <c r="AC114" s="28" t="s">
        <v>16</v>
      </c>
      <c r="AD114" s="27" t="s">
        <v>33</v>
      </c>
      <c r="AE114" s="26"/>
      <c r="AF114" s="26"/>
      <c r="AG114" s="26"/>
      <c r="AH114" s="26"/>
      <c r="AI114" s="26"/>
      <c r="AJ114" s="26"/>
      <c r="AL114" s="13">
        <v>6</v>
      </c>
      <c r="AM114" s="13">
        <v>15</v>
      </c>
      <c r="AN114" s="13">
        <v>400</v>
      </c>
      <c r="AO114" s="13">
        <v>1</v>
      </c>
      <c r="AP114" s="14">
        <f t="shared" si="45"/>
        <v>3.5999999999999997E-2</v>
      </c>
      <c r="AQ114" s="13"/>
      <c r="AR114" s="14"/>
      <c r="AS114" s="13"/>
      <c r="AU114" s="13">
        <v>6</v>
      </c>
      <c r="AV114" s="13">
        <v>10</v>
      </c>
      <c r="AW114" s="13">
        <v>300</v>
      </c>
      <c r="AX114" s="13">
        <v>1</v>
      </c>
      <c r="AY114" s="14">
        <f t="shared" si="37"/>
        <v>1.7999999999999999E-2</v>
      </c>
      <c r="AZ114" s="37"/>
      <c r="BA114" s="42"/>
      <c r="BB114" s="41"/>
      <c r="BD114" s="13">
        <v>7</v>
      </c>
      <c r="BE114" s="13">
        <v>30</v>
      </c>
      <c r="BF114" s="13">
        <v>400</v>
      </c>
      <c r="BG114" s="13">
        <v>2</v>
      </c>
      <c r="BH114" s="14">
        <f t="shared" si="36"/>
        <v>0.16800000000000001</v>
      </c>
      <c r="BI114" s="13"/>
      <c r="BJ114" s="14"/>
      <c r="BK114" s="13"/>
      <c r="BM114" s="13">
        <v>2.2000000000000002</v>
      </c>
      <c r="BN114" s="13">
        <v>13</v>
      </c>
      <c r="BO114" s="13">
        <v>400</v>
      </c>
      <c r="BP114" s="13">
        <v>1</v>
      </c>
      <c r="BQ114" s="14">
        <f t="shared" si="38"/>
        <v>1.1440000000000001E-2</v>
      </c>
      <c r="BR114" s="13"/>
      <c r="BS114" s="14"/>
      <c r="BT114" s="13"/>
      <c r="BV114" s="13">
        <v>4.5</v>
      </c>
      <c r="BW114" s="13">
        <v>20</v>
      </c>
      <c r="BX114" s="13">
        <v>400</v>
      </c>
      <c r="BY114" s="13">
        <v>7</v>
      </c>
      <c r="BZ114" s="14">
        <f t="shared" si="33"/>
        <v>0.252</v>
      </c>
      <c r="CA114" s="13"/>
      <c r="CB114" s="14"/>
      <c r="CC114" s="13"/>
      <c r="CE114" s="43"/>
      <c r="CF114" s="25"/>
      <c r="CG114" s="25"/>
      <c r="CH114" s="25"/>
      <c r="CI114" s="25"/>
      <c r="CJ114" s="225" t="s">
        <v>135</v>
      </c>
      <c r="CK114" s="225"/>
      <c r="CL114" s="225"/>
      <c r="CN114" s="13">
        <v>10</v>
      </c>
      <c r="CO114" s="13">
        <v>12.5</v>
      </c>
      <c r="CP114" s="13">
        <v>400</v>
      </c>
      <c r="CQ114" s="13">
        <v>1</v>
      </c>
      <c r="CR114" s="14">
        <f t="shared" si="42"/>
        <v>0.05</v>
      </c>
      <c r="CS114" s="13"/>
      <c r="CT114" s="14"/>
      <c r="CU114" s="41"/>
      <c r="CW114" s="13">
        <v>15</v>
      </c>
      <c r="CX114" s="13">
        <v>30</v>
      </c>
      <c r="CY114" s="13">
        <v>400</v>
      </c>
      <c r="CZ114" s="13">
        <v>3</v>
      </c>
      <c r="DA114" s="14">
        <f t="shared" si="43"/>
        <v>0.54</v>
      </c>
      <c r="DB114" s="13"/>
      <c r="DC114" s="14"/>
      <c r="DD114" s="41"/>
      <c r="DF114" s="43"/>
      <c r="DG114" s="25"/>
      <c r="DH114" s="25"/>
      <c r="DI114" s="25"/>
      <c r="DJ114" s="25"/>
      <c r="DK114" s="225" t="s">
        <v>188</v>
      </c>
      <c r="DL114" s="225"/>
      <c r="DM114" s="225"/>
    </row>
    <row r="115" spans="2:117" ht="15.75" x14ac:dyDescent="0.25">
      <c r="B115" s="25"/>
      <c r="C115" s="25"/>
      <c r="D115" s="25"/>
      <c r="E115" s="25"/>
      <c r="F115" s="25"/>
      <c r="G115" s="225" t="s">
        <v>43</v>
      </c>
      <c r="H115" s="225"/>
      <c r="I115" s="225"/>
      <c r="K115" s="28" t="s">
        <v>16</v>
      </c>
      <c r="L115" s="27" t="s">
        <v>15</v>
      </c>
      <c r="M115" s="26"/>
      <c r="N115" s="26"/>
      <c r="O115" s="26"/>
      <c r="P115" s="26"/>
      <c r="Q115" s="26"/>
      <c r="R115" s="26"/>
      <c r="T115" s="13">
        <v>13</v>
      </c>
      <c r="U115" s="13">
        <v>25</v>
      </c>
      <c r="V115" s="13">
        <v>400</v>
      </c>
      <c r="W115" s="13">
        <v>1</v>
      </c>
      <c r="X115" s="14">
        <f t="shared" si="44"/>
        <v>0.13</v>
      </c>
      <c r="Y115" s="13"/>
      <c r="Z115" s="14"/>
      <c r="AA115" s="13"/>
      <c r="AC115" s="25"/>
      <c r="AD115" s="25"/>
      <c r="AE115" s="25"/>
      <c r="AF115" s="25"/>
      <c r="AG115" s="25"/>
      <c r="AH115" s="225" t="s">
        <v>42</v>
      </c>
      <c r="AI115" s="225"/>
      <c r="AJ115" s="225"/>
      <c r="AL115" s="13">
        <v>3</v>
      </c>
      <c r="AM115" s="13">
        <v>15</v>
      </c>
      <c r="AN115" s="13">
        <v>400</v>
      </c>
      <c r="AO115" s="13">
        <v>3</v>
      </c>
      <c r="AP115" s="14">
        <f t="shared" si="45"/>
        <v>5.3999999999999999E-2</v>
      </c>
      <c r="AQ115" s="13"/>
      <c r="AR115" s="14"/>
      <c r="AS115" s="13"/>
      <c r="AU115" s="13">
        <v>4</v>
      </c>
      <c r="AV115" s="13">
        <v>6</v>
      </c>
      <c r="AW115" s="13">
        <v>300</v>
      </c>
      <c r="AX115" s="13">
        <v>6</v>
      </c>
      <c r="AY115" s="14">
        <f t="shared" si="37"/>
        <v>4.3200000000000002E-2</v>
      </c>
      <c r="AZ115" s="37"/>
      <c r="BA115" s="42"/>
      <c r="BB115" s="41"/>
      <c r="BD115" s="13">
        <v>8</v>
      </c>
      <c r="BE115" s="13">
        <v>30</v>
      </c>
      <c r="BF115" s="13">
        <v>400</v>
      </c>
      <c r="BG115" s="13">
        <v>1</v>
      </c>
      <c r="BH115" s="14">
        <f t="shared" si="36"/>
        <v>9.6000000000000002E-2</v>
      </c>
      <c r="BI115" s="13"/>
      <c r="BJ115" s="14"/>
      <c r="BK115" s="13"/>
      <c r="BM115" s="13">
        <v>1.7</v>
      </c>
      <c r="BN115" s="13">
        <v>13</v>
      </c>
      <c r="BO115" s="13">
        <v>400</v>
      </c>
      <c r="BP115" s="13">
        <v>2</v>
      </c>
      <c r="BQ115" s="14">
        <f t="shared" si="38"/>
        <v>1.7680000000000001E-2</v>
      </c>
      <c r="BR115" s="13"/>
      <c r="BS115" s="14"/>
      <c r="BT115" s="13"/>
      <c r="BV115" s="13">
        <v>10</v>
      </c>
      <c r="BW115" s="13">
        <v>20</v>
      </c>
      <c r="BX115" s="13">
        <v>400</v>
      </c>
      <c r="BY115" s="13">
        <v>9</v>
      </c>
      <c r="BZ115" s="14">
        <f t="shared" si="33"/>
        <v>0.72</v>
      </c>
      <c r="CA115" s="13"/>
      <c r="CB115" s="14"/>
      <c r="CC115" s="13"/>
      <c r="CE115" s="226" t="s">
        <v>13</v>
      </c>
      <c r="CF115" s="227"/>
      <c r="CG115" s="228"/>
      <c r="CH115" s="227" t="s">
        <v>12</v>
      </c>
      <c r="CI115" s="228"/>
      <c r="CJ115" s="227" t="s">
        <v>12</v>
      </c>
      <c r="CK115" s="228"/>
      <c r="CL115" s="229" t="s">
        <v>11</v>
      </c>
      <c r="CN115" s="13">
        <v>6</v>
      </c>
      <c r="CO115" s="13">
        <v>15</v>
      </c>
      <c r="CP115" s="13">
        <v>400</v>
      </c>
      <c r="CQ115" s="13">
        <v>1</v>
      </c>
      <c r="CR115" s="14">
        <f t="shared" si="42"/>
        <v>3.5999999999999997E-2</v>
      </c>
      <c r="CS115" s="13"/>
      <c r="CT115" s="14"/>
      <c r="CU115" s="41"/>
      <c r="CW115" s="13">
        <v>13</v>
      </c>
      <c r="CX115" s="13">
        <v>20</v>
      </c>
      <c r="CY115" s="13">
        <v>400</v>
      </c>
      <c r="CZ115" s="13">
        <v>3</v>
      </c>
      <c r="DA115" s="14">
        <f t="shared" si="43"/>
        <v>0.312</v>
      </c>
      <c r="DB115" s="13"/>
      <c r="DC115" s="14"/>
      <c r="DD115" s="41"/>
      <c r="DF115" s="226" t="s">
        <v>13</v>
      </c>
      <c r="DG115" s="227"/>
      <c r="DH115" s="228"/>
      <c r="DI115" s="227" t="s">
        <v>12</v>
      </c>
      <c r="DJ115" s="228"/>
      <c r="DK115" s="227" t="s">
        <v>12</v>
      </c>
      <c r="DL115" s="228"/>
      <c r="DM115" s="229" t="s">
        <v>11</v>
      </c>
    </row>
    <row r="116" spans="2:117" ht="15.75" x14ac:dyDescent="0.25">
      <c r="B116" s="226" t="s">
        <v>13</v>
      </c>
      <c r="C116" s="227"/>
      <c r="D116" s="228"/>
      <c r="E116" s="227" t="s">
        <v>12</v>
      </c>
      <c r="F116" s="228"/>
      <c r="G116" s="227" t="s">
        <v>12</v>
      </c>
      <c r="H116" s="228"/>
      <c r="I116" s="229" t="s">
        <v>11</v>
      </c>
      <c r="K116" s="25"/>
      <c r="L116" s="25"/>
      <c r="M116" s="25"/>
      <c r="N116" s="25"/>
      <c r="O116" s="25"/>
      <c r="P116" s="225" t="s">
        <v>41</v>
      </c>
      <c r="Q116" s="225"/>
      <c r="R116" s="225"/>
      <c r="T116" s="13">
        <v>13</v>
      </c>
      <c r="U116" s="13">
        <v>20</v>
      </c>
      <c r="V116" s="13">
        <v>400</v>
      </c>
      <c r="W116" s="13">
        <v>4</v>
      </c>
      <c r="X116" s="14">
        <f t="shared" si="44"/>
        <v>0.41599999999999998</v>
      </c>
      <c r="Y116" s="13"/>
      <c r="Z116" s="14"/>
      <c r="AA116" s="13"/>
      <c r="AC116" s="226" t="s">
        <v>13</v>
      </c>
      <c r="AD116" s="227"/>
      <c r="AE116" s="228"/>
      <c r="AF116" s="227" t="s">
        <v>12</v>
      </c>
      <c r="AG116" s="228"/>
      <c r="AH116" s="227" t="s">
        <v>12</v>
      </c>
      <c r="AI116" s="228"/>
      <c r="AJ116" s="229" t="s">
        <v>11</v>
      </c>
      <c r="AL116" s="13">
        <v>12</v>
      </c>
      <c r="AM116" s="13">
        <v>12</v>
      </c>
      <c r="AN116" s="13">
        <v>400</v>
      </c>
      <c r="AO116" s="13">
        <v>1</v>
      </c>
      <c r="AP116" s="14">
        <f t="shared" si="45"/>
        <v>5.7599999999999998E-2</v>
      </c>
      <c r="AQ116" s="13"/>
      <c r="AR116" s="14"/>
      <c r="AS116" s="13"/>
      <c r="AU116" s="13">
        <v>3</v>
      </c>
      <c r="AV116" s="13">
        <v>5</v>
      </c>
      <c r="AW116" s="13">
        <v>300</v>
      </c>
      <c r="AX116" s="13">
        <v>10</v>
      </c>
      <c r="AY116" s="14">
        <f t="shared" si="37"/>
        <v>4.4999999999999998E-2</v>
      </c>
      <c r="AZ116" s="37"/>
      <c r="BA116" s="42"/>
      <c r="BB116" s="41"/>
      <c r="BD116" s="13">
        <v>7</v>
      </c>
      <c r="BE116" s="13">
        <v>20</v>
      </c>
      <c r="BF116" s="13">
        <v>400</v>
      </c>
      <c r="BG116" s="13">
        <v>13</v>
      </c>
      <c r="BH116" s="14">
        <f t="shared" si="36"/>
        <v>0.72799999999999998</v>
      </c>
      <c r="BI116" s="13"/>
      <c r="BJ116" s="14"/>
      <c r="BK116" s="13"/>
      <c r="BM116" s="13">
        <v>7</v>
      </c>
      <c r="BN116" s="13">
        <v>25</v>
      </c>
      <c r="BO116" s="13">
        <v>400</v>
      </c>
      <c r="BP116" s="13">
        <v>1</v>
      </c>
      <c r="BQ116" s="14">
        <f t="shared" si="38"/>
        <v>7.0000000000000007E-2</v>
      </c>
      <c r="BR116" s="13"/>
      <c r="BS116" s="14"/>
      <c r="BT116" s="13"/>
      <c r="BV116" s="13">
        <v>2.2000000000000002</v>
      </c>
      <c r="BW116" s="13">
        <v>20</v>
      </c>
      <c r="BX116" s="13">
        <v>400</v>
      </c>
      <c r="BY116" s="13">
        <v>1</v>
      </c>
      <c r="BZ116" s="14">
        <f t="shared" si="33"/>
        <v>1.7600000000000001E-2</v>
      </c>
      <c r="CA116" s="13"/>
      <c r="CB116" s="14"/>
      <c r="CC116" s="13"/>
      <c r="CE116" s="24" t="s">
        <v>10</v>
      </c>
      <c r="CF116" s="23" t="s">
        <v>9</v>
      </c>
      <c r="CG116" s="23" t="s">
        <v>8</v>
      </c>
      <c r="CH116" s="22" t="s">
        <v>7</v>
      </c>
      <c r="CI116" s="21" t="s">
        <v>6</v>
      </c>
      <c r="CJ116" s="22" t="s">
        <v>7</v>
      </c>
      <c r="CK116" s="21" t="s">
        <v>6</v>
      </c>
      <c r="CL116" s="230"/>
      <c r="CN116" s="13">
        <v>4.5</v>
      </c>
      <c r="CO116" s="13">
        <v>15</v>
      </c>
      <c r="CP116" s="13">
        <v>400</v>
      </c>
      <c r="CQ116" s="13">
        <v>2</v>
      </c>
      <c r="CR116" s="14">
        <f t="shared" si="42"/>
        <v>5.3999999999999999E-2</v>
      </c>
      <c r="CS116" s="13"/>
      <c r="CT116" s="14"/>
      <c r="CU116" s="41"/>
      <c r="CW116" s="13">
        <v>7</v>
      </c>
      <c r="CX116" s="13">
        <v>25</v>
      </c>
      <c r="CY116" s="13">
        <v>400</v>
      </c>
      <c r="CZ116" s="13">
        <v>1</v>
      </c>
      <c r="DA116" s="14">
        <f t="shared" si="43"/>
        <v>7.0000000000000007E-2</v>
      </c>
      <c r="DB116" s="13"/>
      <c r="DC116" s="14"/>
      <c r="DD116" s="41"/>
      <c r="DF116" s="24" t="s">
        <v>10</v>
      </c>
      <c r="DG116" s="23" t="s">
        <v>9</v>
      </c>
      <c r="DH116" s="23" t="s">
        <v>8</v>
      </c>
      <c r="DI116" s="22" t="s">
        <v>7</v>
      </c>
      <c r="DJ116" s="21" t="s">
        <v>6</v>
      </c>
      <c r="DK116" s="22" t="s">
        <v>7</v>
      </c>
      <c r="DL116" s="21" t="s">
        <v>6</v>
      </c>
      <c r="DM116" s="230"/>
    </row>
    <row r="117" spans="2:117" ht="15.75" x14ac:dyDescent="0.25">
      <c r="B117" s="24" t="s">
        <v>10</v>
      </c>
      <c r="C117" s="23" t="s">
        <v>9</v>
      </c>
      <c r="D117" s="23" t="s">
        <v>8</v>
      </c>
      <c r="E117" s="22" t="s">
        <v>7</v>
      </c>
      <c r="F117" s="21" t="s">
        <v>6</v>
      </c>
      <c r="G117" s="22" t="s">
        <v>7</v>
      </c>
      <c r="H117" s="21" t="s">
        <v>6</v>
      </c>
      <c r="I117" s="230"/>
      <c r="K117" s="226" t="s">
        <v>13</v>
      </c>
      <c r="L117" s="227"/>
      <c r="M117" s="228"/>
      <c r="N117" s="227" t="s">
        <v>12</v>
      </c>
      <c r="O117" s="228"/>
      <c r="P117" s="227" t="s">
        <v>12</v>
      </c>
      <c r="Q117" s="228"/>
      <c r="R117" s="229" t="s">
        <v>11</v>
      </c>
      <c r="T117" s="13">
        <v>13</v>
      </c>
      <c r="U117" s="13">
        <v>18</v>
      </c>
      <c r="V117" s="13">
        <v>400</v>
      </c>
      <c r="W117" s="13">
        <v>1</v>
      </c>
      <c r="X117" s="14">
        <f t="shared" si="44"/>
        <v>9.3600000000000003E-2</v>
      </c>
      <c r="Y117" s="13"/>
      <c r="Z117" s="14"/>
      <c r="AA117" s="13"/>
      <c r="AC117" s="24" t="s">
        <v>10</v>
      </c>
      <c r="AD117" s="23" t="s">
        <v>9</v>
      </c>
      <c r="AE117" s="23" t="s">
        <v>8</v>
      </c>
      <c r="AF117" s="22" t="s">
        <v>7</v>
      </c>
      <c r="AG117" s="21" t="s">
        <v>6</v>
      </c>
      <c r="AH117" s="22" t="s">
        <v>7</v>
      </c>
      <c r="AI117" s="21" t="s">
        <v>6</v>
      </c>
      <c r="AJ117" s="230"/>
      <c r="AL117" s="13">
        <v>10</v>
      </c>
      <c r="AM117" s="13">
        <v>10</v>
      </c>
      <c r="AN117" s="13">
        <v>400</v>
      </c>
      <c r="AO117" s="13">
        <v>3</v>
      </c>
      <c r="AP117" s="14">
        <f t="shared" si="45"/>
        <v>0.12</v>
      </c>
      <c r="AQ117" s="13"/>
      <c r="AR117" s="14"/>
      <c r="AS117" s="13"/>
      <c r="AU117" s="13">
        <v>2</v>
      </c>
      <c r="AV117" s="13">
        <v>3</v>
      </c>
      <c r="AW117" s="13">
        <v>300</v>
      </c>
      <c r="AX117" s="13">
        <v>25</v>
      </c>
      <c r="AY117" s="14">
        <f t="shared" si="37"/>
        <v>4.4999999999999998E-2</v>
      </c>
      <c r="AZ117" s="37">
        <f>SUM(AX91:AX117)</f>
        <v>624</v>
      </c>
      <c r="BA117" s="42">
        <f>SUM(AY91:AY117)</f>
        <v>5.0985999999999994</v>
      </c>
      <c r="BB117" s="41" t="s">
        <v>21</v>
      </c>
      <c r="BD117" s="13">
        <v>10</v>
      </c>
      <c r="BE117" s="13">
        <v>20</v>
      </c>
      <c r="BF117" s="13">
        <v>400</v>
      </c>
      <c r="BG117" s="13">
        <v>4</v>
      </c>
      <c r="BH117" s="14">
        <f t="shared" si="36"/>
        <v>0.32</v>
      </c>
      <c r="BI117" s="13"/>
      <c r="BJ117" s="14"/>
      <c r="BK117" s="13"/>
      <c r="BM117" s="13">
        <v>8</v>
      </c>
      <c r="BN117" s="13">
        <v>30</v>
      </c>
      <c r="BO117" s="13">
        <v>400</v>
      </c>
      <c r="BP117" s="13">
        <v>1</v>
      </c>
      <c r="BQ117" s="14">
        <f t="shared" si="38"/>
        <v>9.6000000000000002E-2</v>
      </c>
      <c r="BR117" s="13"/>
      <c r="BS117" s="14"/>
      <c r="BT117" s="13"/>
      <c r="BV117" s="13">
        <v>1.7</v>
      </c>
      <c r="BW117" s="13">
        <v>20</v>
      </c>
      <c r="BX117" s="13">
        <v>400</v>
      </c>
      <c r="BY117" s="13">
        <v>1</v>
      </c>
      <c r="BZ117" s="14">
        <f t="shared" si="33"/>
        <v>1.3599999999999999E-2</v>
      </c>
      <c r="CA117" s="13"/>
      <c r="CB117" s="14"/>
      <c r="CC117" s="13"/>
      <c r="CE117" s="13">
        <v>15</v>
      </c>
      <c r="CF117" s="13">
        <v>25</v>
      </c>
      <c r="CG117" s="13">
        <v>400</v>
      </c>
      <c r="CH117" s="13">
        <v>3</v>
      </c>
      <c r="CI117" s="14">
        <f t="shared" ref="CI117:CI142" si="46">CE117*CF117*CG117*CH117/1000000</f>
        <v>0.45</v>
      </c>
      <c r="CJ117" s="13"/>
      <c r="CK117" s="14"/>
      <c r="CL117" s="13"/>
      <c r="CN117" s="13">
        <v>3</v>
      </c>
      <c r="CO117" s="13">
        <v>15</v>
      </c>
      <c r="CP117" s="13">
        <v>400</v>
      </c>
      <c r="CQ117" s="13">
        <v>1</v>
      </c>
      <c r="CR117" s="14">
        <f t="shared" si="42"/>
        <v>1.7999999999999999E-2</v>
      </c>
      <c r="CS117" s="13"/>
      <c r="CT117" s="14"/>
      <c r="CU117" s="41"/>
      <c r="CW117" s="13">
        <v>10</v>
      </c>
      <c r="CX117" s="13">
        <v>25</v>
      </c>
      <c r="CY117" s="13">
        <v>400</v>
      </c>
      <c r="CZ117" s="13">
        <v>4</v>
      </c>
      <c r="DA117" s="14">
        <f t="shared" si="43"/>
        <v>0.4</v>
      </c>
      <c r="DB117" s="13"/>
      <c r="DC117" s="14"/>
      <c r="DD117" s="41"/>
      <c r="DF117" s="13">
        <v>4.5</v>
      </c>
      <c r="DG117" s="13">
        <v>25</v>
      </c>
      <c r="DH117" s="13">
        <v>400</v>
      </c>
      <c r="DI117" s="13">
        <v>2</v>
      </c>
      <c r="DJ117" s="14">
        <f t="shared" ref="DJ117:DJ150" si="47">DF117*DG117*DH117*DI117/1000000</f>
        <v>0.09</v>
      </c>
      <c r="DK117" s="13"/>
      <c r="DL117" s="14"/>
      <c r="DM117" s="41"/>
    </row>
    <row r="118" spans="2:117" ht="15.75" x14ac:dyDescent="0.25">
      <c r="B118" s="13">
        <v>15</v>
      </c>
      <c r="C118" s="13">
        <v>25</v>
      </c>
      <c r="D118" s="13">
        <v>400</v>
      </c>
      <c r="E118" s="13">
        <v>15</v>
      </c>
      <c r="F118" s="20">
        <f t="shared" ref="F118:F144" si="48">B118*C118*D118*E118/1000000</f>
        <v>2.25</v>
      </c>
      <c r="G118" s="13"/>
      <c r="H118" s="14"/>
      <c r="I118" s="13"/>
      <c r="K118" s="24" t="s">
        <v>10</v>
      </c>
      <c r="L118" s="23" t="s">
        <v>9</v>
      </c>
      <c r="M118" s="23" t="s">
        <v>8</v>
      </c>
      <c r="N118" s="22" t="s">
        <v>7</v>
      </c>
      <c r="O118" s="21" t="s">
        <v>6</v>
      </c>
      <c r="P118" s="22" t="s">
        <v>7</v>
      </c>
      <c r="Q118" s="21" t="s">
        <v>6</v>
      </c>
      <c r="R118" s="230"/>
      <c r="T118" s="13">
        <v>13</v>
      </c>
      <c r="U118" s="13">
        <v>15</v>
      </c>
      <c r="V118" s="13">
        <v>400</v>
      </c>
      <c r="W118" s="13">
        <v>9</v>
      </c>
      <c r="X118" s="14">
        <f t="shared" si="44"/>
        <v>0.70199999999999996</v>
      </c>
      <c r="Y118" s="13">
        <f>SUM(W114:W118)</f>
        <v>16</v>
      </c>
      <c r="Z118" s="14">
        <f>SUM(X114:X118)</f>
        <v>1.4975999999999998</v>
      </c>
      <c r="AA118" s="13"/>
      <c r="AC118" s="13">
        <v>15</v>
      </c>
      <c r="AD118" s="13">
        <v>30</v>
      </c>
      <c r="AE118" s="13">
        <v>400</v>
      </c>
      <c r="AF118" s="13">
        <v>3</v>
      </c>
      <c r="AG118" s="14">
        <f t="shared" ref="AG118:AG149" si="49">AC118*AD118*AE118*AF118/1000000</f>
        <v>0.54</v>
      </c>
      <c r="AH118" s="13"/>
      <c r="AI118" s="14"/>
      <c r="AJ118" s="13"/>
      <c r="AL118" s="13">
        <v>4</v>
      </c>
      <c r="AM118" s="13">
        <v>10</v>
      </c>
      <c r="AN118" s="13">
        <v>400</v>
      </c>
      <c r="AO118" s="13">
        <v>1</v>
      </c>
      <c r="AP118" s="14">
        <f t="shared" si="45"/>
        <v>1.6E-2</v>
      </c>
      <c r="AQ118" s="13"/>
      <c r="AR118" s="14"/>
      <c r="AS118" s="13"/>
      <c r="AU118" s="13">
        <v>7</v>
      </c>
      <c r="AV118" s="13">
        <v>28</v>
      </c>
      <c r="AW118" s="13">
        <v>400</v>
      </c>
      <c r="AX118" s="13">
        <v>1</v>
      </c>
      <c r="AY118" s="14">
        <f t="shared" si="37"/>
        <v>7.8399999999999997E-2</v>
      </c>
      <c r="AZ118" s="13"/>
      <c r="BA118" s="20"/>
      <c r="BB118" s="13"/>
      <c r="BD118" s="13">
        <v>15</v>
      </c>
      <c r="BE118" s="13">
        <v>20</v>
      </c>
      <c r="BF118" s="13">
        <v>400</v>
      </c>
      <c r="BG118" s="13">
        <v>1</v>
      </c>
      <c r="BH118" s="14">
        <f t="shared" si="36"/>
        <v>0.12</v>
      </c>
      <c r="BI118" s="13"/>
      <c r="BJ118" s="14"/>
      <c r="BK118" s="13"/>
      <c r="BM118" s="13">
        <v>15</v>
      </c>
      <c r="BN118" s="13">
        <v>33</v>
      </c>
      <c r="BO118" s="13">
        <v>400</v>
      </c>
      <c r="BP118" s="13">
        <v>3</v>
      </c>
      <c r="BQ118" s="14">
        <f t="shared" si="38"/>
        <v>0.59399999999999997</v>
      </c>
      <c r="BR118" s="13"/>
      <c r="BS118" s="14"/>
      <c r="BT118" s="13"/>
      <c r="BV118" s="13">
        <v>7</v>
      </c>
      <c r="BW118" s="13">
        <v>13</v>
      </c>
      <c r="BX118" s="13">
        <v>400</v>
      </c>
      <c r="BY118" s="13">
        <v>3</v>
      </c>
      <c r="BZ118" s="14">
        <f t="shared" si="33"/>
        <v>0.10920000000000001</v>
      </c>
      <c r="CA118" s="13"/>
      <c r="CB118" s="14"/>
      <c r="CC118" s="13"/>
      <c r="CE118" s="13">
        <v>12</v>
      </c>
      <c r="CF118" s="13">
        <v>30</v>
      </c>
      <c r="CG118" s="13">
        <v>400</v>
      </c>
      <c r="CH118" s="13">
        <v>1</v>
      </c>
      <c r="CI118" s="14">
        <f t="shared" si="46"/>
        <v>0.14399999999999999</v>
      </c>
      <c r="CJ118" s="13"/>
      <c r="CK118" s="14"/>
      <c r="CL118" s="13"/>
      <c r="CN118" s="13">
        <v>2</v>
      </c>
      <c r="CO118" s="13">
        <v>15</v>
      </c>
      <c r="CP118" s="13">
        <v>400</v>
      </c>
      <c r="CQ118" s="13">
        <v>1</v>
      </c>
      <c r="CR118" s="14">
        <f t="shared" si="42"/>
        <v>1.2E-2</v>
      </c>
      <c r="CS118" s="13"/>
      <c r="CT118" s="14"/>
      <c r="CU118" s="41"/>
      <c r="CW118" s="13">
        <v>10</v>
      </c>
      <c r="CX118" s="13">
        <v>28</v>
      </c>
      <c r="CY118" s="13">
        <v>400</v>
      </c>
      <c r="CZ118" s="13">
        <v>2</v>
      </c>
      <c r="DA118" s="14">
        <f t="shared" si="43"/>
        <v>0.224</v>
      </c>
      <c r="DB118" s="13"/>
      <c r="DC118" s="14"/>
      <c r="DD118" s="41"/>
      <c r="DF118" s="13">
        <v>13</v>
      </c>
      <c r="DG118" s="13">
        <v>25</v>
      </c>
      <c r="DH118" s="13">
        <v>400</v>
      </c>
      <c r="DI118" s="13">
        <v>4</v>
      </c>
      <c r="DJ118" s="14">
        <f t="shared" si="47"/>
        <v>0.52</v>
      </c>
      <c r="DK118" s="13"/>
      <c r="DL118" s="14"/>
      <c r="DM118" s="41"/>
    </row>
    <row r="119" spans="2:117" ht="15.75" x14ac:dyDescent="0.25">
      <c r="B119" s="13">
        <v>15</v>
      </c>
      <c r="C119" s="13">
        <v>20</v>
      </c>
      <c r="D119" s="13">
        <v>400</v>
      </c>
      <c r="E119" s="13">
        <v>5</v>
      </c>
      <c r="F119" s="20">
        <f t="shared" si="48"/>
        <v>0.6</v>
      </c>
      <c r="G119" s="13"/>
      <c r="H119" s="14"/>
      <c r="I119" s="13"/>
      <c r="K119" s="13">
        <v>15</v>
      </c>
      <c r="L119" s="13">
        <v>30</v>
      </c>
      <c r="M119" s="13">
        <v>400</v>
      </c>
      <c r="N119" s="13">
        <v>4</v>
      </c>
      <c r="O119" s="14">
        <f t="shared" ref="O119:O150" si="50">K119*L119*M119*N119/1000000</f>
        <v>0.72</v>
      </c>
      <c r="P119" s="13"/>
      <c r="Q119" s="14"/>
      <c r="R119" s="13"/>
      <c r="T119" s="13">
        <v>10</v>
      </c>
      <c r="U119" s="13">
        <v>25</v>
      </c>
      <c r="V119" s="13">
        <v>400</v>
      </c>
      <c r="W119" s="13">
        <v>3</v>
      </c>
      <c r="X119" s="14">
        <f t="shared" si="44"/>
        <v>0.3</v>
      </c>
      <c r="Y119" s="13"/>
      <c r="Z119" s="14"/>
      <c r="AA119" s="13"/>
      <c r="AC119" s="13">
        <v>15</v>
      </c>
      <c r="AD119" s="13">
        <v>25</v>
      </c>
      <c r="AE119" s="13">
        <v>400</v>
      </c>
      <c r="AF119" s="13">
        <v>3</v>
      </c>
      <c r="AG119" s="14">
        <f t="shared" si="49"/>
        <v>0.45</v>
      </c>
      <c r="AH119" s="13"/>
      <c r="AI119" s="14"/>
      <c r="AJ119" s="13"/>
      <c r="AL119" s="13">
        <v>5</v>
      </c>
      <c r="AM119" s="13">
        <v>10</v>
      </c>
      <c r="AN119" s="13">
        <v>400</v>
      </c>
      <c r="AO119" s="13">
        <v>2</v>
      </c>
      <c r="AP119" s="14">
        <f t="shared" si="45"/>
        <v>0.04</v>
      </c>
      <c r="AQ119" s="13"/>
      <c r="AR119" s="14"/>
      <c r="AS119" s="13"/>
      <c r="AU119" s="13">
        <v>13</v>
      </c>
      <c r="AV119" s="13">
        <v>25</v>
      </c>
      <c r="AW119" s="13">
        <v>400</v>
      </c>
      <c r="AX119" s="13">
        <v>2</v>
      </c>
      <c r="AY119" s="14">
        <f t="shared" si="37"/>
        <v>0.26</v>
      </c>
      <c r="AZ119" s="13"/>
      <c r="BA119" s="14"/>
      <c r="BB119" s="13"/>
      <c r="BD119" s="13">
        <v>3.5</v>
      </c>
      <c r="BE119" s="13">
        <v>20</v>
      </c>
      <c r="BF119" s="13">
        <v>400</v>
      </c>
      <c r="BG119" s="13">
        <v>1</v>
      </c>
      <c r="BH119" s="14">
        <f t="shared" si="36"/>
        <v>2.8000000000000001E-2</v>
      </c>
      <c r="BI119" s="13"/>
      <c r="BJ119" s="14"/>
      <c r="BK119" s="13"/>
      <c r="BM119" s="13">
        <v>13</v>
      </c>
      <c r="BN119" s="13">
        <v>33</v>
      </c>
      <c r="BO119" s="13">
        <v>400</v>
      </c>
      <c r="BP119" s="13">
        <v>1</v>
      </c>
      <c r="BQ119" s="14">
        <f t="shared" si="38"/>
        <v>0.1716</v>
      </c>
      <c r="BR119" s="13"/>
      <c r="BS119" s="14"/>
      <c r="BT119" s="13"/>
      <c r="BV119" s="13">
        <v>4.5</v>
      </c>
      <c r="BW119" s="13">
        <v>15</v>
      </c>
      <c r="BX119" s="13">
        <v>400</v>
      </c>
      <c r="BY119" s="13">
        <v>13</v>
      </c>
      <c r="BZ119" s="14">
        <f t="shared" si="33"/>
        <v>0.35099999999999998</v>
      </c>
      <c r="CA119" s="13"/>
      <c r="CB119" s="14"/>
      <c r="CC119" s="13"/>
      <c r="CE119" s="13">
        <v>12</v>
      </c>
      <c r="CF119" s="13">
        <v>25</v>
      </c>
      <c r="CG119" s="13">
        <v>400</v>
      </c>
      <c r="CH119" s="13">
        <v>1</v>
      </c>
      <c r="CI119" s="14">
        <f t="shared" si="46"/>
        <v>0.12</v>
      </c>
      <c r="CJ119" s="13"/>
      <c r="CK119" s="14"/>
      <c r="CL119" s="13"/>
      <c r="CN119" s="13">
        <v>10</v>
      </c>
      <c r="CO119" s="13">
        <v>10</v>
      </c>
      <c r="CP119" s="13">
        <v>400</v>
      </c>
      <c r="CQ119" s="13">
        <v>4</v>
      </c>
      <c r="CR119" s="14">
        <f t="shared" si="42"/>
        <v>0.16</v>
      </c>
      <c r="CS119" s="13"/>
      <c r="CT119" s="14"/>
      <c r="CU119" s="41"/>
      <c r="CW119" s="13">
        <v>13</v>
      </c>
      <c r="CX119" s="13">
        <v>33</v>
      </c>
      <c r="CY119" s="13">
        <v>400</v>
      </c>
      <c r="CZ119" s="13">
        <v>1</v>
      </c>
      <c r="DA119" s="14">
        <f t="shared" si="43"/>
        <v>0.1716</v>
      </c>
      <c r="DB119" s="13"/>
      <c r="DC119" s="14"/>
      <c r="DD119" s="41"/>
      <c r="DF119" s="13">
        <v>10</v>
      </c>
      <c r="DG119" s="13">
        <v>25</v>
      </c>
      <c r="DH119" s="13">
        <v>400</v>
      </c>
      <c r="DI119" s="13">
        <v>7</v>
      </c>
      <c r="DJ119" s="14">
        <f t="shared" si="47"/>
        <v>0.7</v>
      </c>
      <c r="DK119" s="13"/>
      <c r="DL119" s="14"/>
      <c r="DM119" s="41"/>
    </row>
    <row r="120" spans="2:117" ht="15.75" x14ac:dyDescent="0.25">
      <c r="B120" s="13">
        <v>15</v>
      </c>
      <c r="C120" s="13">
        <v>18</v>
      </c>
      <c r="D120" s="13">
        <v>400</v>
      </c>
      <c r="E120" s="13">
        <v>2</v>
      </c>
      <c r="F120" s="20">
        <f t="shared" si="48"/>
        <v>0.216</v>
      </c>
      <c r="G120" s="13"/>
      <c r="H120" s="14"/>
      <c r="I120" s="13"/>
      <c r="K120" s="13">
        <v>15</v>
      </c>
      <c r="L120" s="13">
        <v>28</v>
      </c>
      <c r="M120" s="13">
        <v>400</v>
      </c>
      <c r="N120" s="13">
        <v>1</v>
      </c>
      <c r="O120" s="14">
        <f t="shared" si="50"/>
        <v>0.16800000000000001</v>
      </c>
      <c r="P120" s="13"/>
      <c r="Q120" s="14"/>
      <c r="R120" s="13"/>
      <c r="T120" s="13">
        <v>10</v>
      </c>
      <c r="U120" s="13">
        <v>20</v>
      </c>
      <c r="V120" s="13">
        <v>400</v>
      </c>
      <c r="W120" s="13">
        <v>3</v>
      </c>
      <c r="X120" s="14">
        <f t="shared" si="44"/>
        <v>0.24</v>
      </c>
      <c r="Y120" s="13"/>
      <c r="Z120" s="14"/>
      <c r="AA120" s="13"/>
      <c r="AC120" s="13">
        <v>15</v>
      </c>
      <c r="AD120" s="13">
        <v>23</v>
      </c>
      <c r="AE120" s="13">
        <v>400</v>
      </c>
      <c r="AF120" s="13">
        <v>1</v>
      </c>
      <c r="AG120" s="14">
        <f t="shared" si="49"/>
        <v>0.13800000000000001</v>
      </c>
      <c r="AH120" s="13"/>
      <c r="AI120" s="14"/>
      <c r="AJ120" s="13"/>
      <c r="AL120" s="13">
        <v>6</v>
      </c>
      <c r="AM120" s="13">
        <v>10</v>
      </c>
      <c r="AN120" s="13">
        <v>400</v>
      </c>
      <c r="AO120" s="13">
        <v>1</v>
      </c>
      <c r="AP120" s="14">
        <f t="shared" si="45"/>
        <v>2.4E-2</v>
      </c>
      <c r="AQ120" s="13"/>
      <c r="AR120" s="14"/>
      <c r="AS120" s="13"/>
      <c r="AU120" s="13">
        <v>15</v>
      </c>
      <c r="AV120" s="13">
        <v>25</v>
      </c>
      <c r="AW120" s="13">
        <v>400</v>
      </c>
      <c r="AX120" s="13">
        <v>1</v>
      </c>
      <c r="AY120" s="14">
        <f t="shared" si="37"/>
        <v>0.15</v>
      </c>
      <c r="AZ120" s="13"/>
      <c r="BA120" s="14"/>
      <c r="BB120" s="13"/>
      <c r="BD120" s="13">
        <v>15</v>
      </c>
      <c r="BE120" s="13">
        <v>25</v>
      </c>
      <c r="BF120" s="13">
        <v>400</v>
      </c>
      <c r="BG120" s="13">
        <v>3</v>
      </c>
      <c r="BH120" s="14">
        <f t="shared" si="36"/>
        <v>0.45</v>
      </c>
      <c r="BI120" s="13"/>
      <c r="BJ120" s="14"/>
      <c r="BK120" s="13"/>
      <c r="BM120" s="13">
        <v>7</v>
      </c>
      <c r="BN120" s="13">
        <v>30</v>
      </c>
      <c r="BO120" s="13">
        <v>400</v>
      </c>
      <c r="BP120" s="13">
        <v>1</v>
      </c>
      <c r="BQ120" s="14">
        <f t="shared" si="38"/>
        <v>8.4000000000000005E-2</v>
      </c>
      <c r="BR120" s="13"/>
      <c r="BS120" s="14"/>
      <c r="BT120" s="13"/>
      <c r="BV120" s="13">
        <v>2.2000000000000002</v>
      </c>
      <c r="BW120" s="13">
        <v>15</v>
      </c>
      <c r="BX120" s="13">
        <v>400</v>
      </c>
      <c r="BY120" s="13">
        <v>6</v>
      </c>
      <c r="BZ120" s="14">
        <f t="shared" si="33"/>
        <v>7.9200000000000007E-2</v>
      </c>
      <c r="CA120" s="13"/>
      <c r="CB120" s="14"/>
      <c r="CC120" s="13"/>
      <c r="CE120" s="13">
        <v>12</v>
      </c>
      <c r="CF120" s="13">
        <v>20</v>
      </c>
      <c r="CG120" s="13">
        <v>400</v>
      </c>
      <c r="CH120" s="13">
        <v>2</v>
      </c>
      <c r="CI120" s="14">
        <f t="shared" si="46"/>
        <v>0.192</v>
      </c>
      <c r="CJ120" s="13"/>
      <c r="CK120" s="14"/>
      <c r="CL120" s="13"/>
      <c r="CN120" s="13">
        <v>4.5</v>
      </c>
      <c r="CO120" s="13">
        <v>10</v>
      </c>
      <c r="CP120" s="13">
        <v>400</v>
      </c>
      <c r="CQ120" s="13">
        <v>21</v>
      </c>
      <c r="CR120" s="14">
        <f t="shared" si="42"/>
        <v>0.378</v>
      </c>
      <c r="CS120" s="13"/>
      <c r="CT120" s="14"/>
      <c r="CU120" s="41"/>
      <c r="CW120" s="13">
        <v>10</v>
      </c>
      <c r="CX120" s="13">
        <v>23</v>
      </c>
      <c r="CY120" s="13">
        <v>400</v>
      </c>
      <c r="CZ120" s="13">
        <v>1</v>
      </c>
      <c r="DA120" s="14">
        <f t="shared" si="43"/>
        <v>9.1999999999999998E-2</v>
      </c>
      <c r="DB120" s="13"/>
      <c r="DC120" s="14"/>
      <c r="DD120" s="41"/>
      <c r="DF120" s="13">
        <v>10</v>
      </c>
      <c r="DG120" s="13">
        <v>30</v>
      </c>
      <c r="DH120" s="13">
        <v>400</v>
      </c>
      <c r="DI120" s="13">
        <v>1</v>
      </c>
      <c r="DJ120" s="14">
        <f t="shared" si="47"/>
        <v>0.12</v>
      </c>
      <c r="DK120" s="13"/>
      <c r="DL120" s="14"/>
      <c r="DM120" s="41"/>
    </row>
    <row r="121" spans="2:117" ht="15.75" x14ac:dyDescent="0.25">
      <c r="B121" s="13">
        <v>15</v>
      </c>
      <c r="C121" s="13">
        <v>15</v>
      </c>
      <c r="D121" s="13">
        <v>400</v>
      </c>
      <c r="E121" s="13">
        <v>3</v>
      </c>
      <c r="F121" s="20">
        <f t="shared" si="48"/>
        <v>0.27</v>
      </c>
      <c r="G121" s="13">
        <f>SUM(E118:E121)</f>
        <v>25</v>
      </c>
      <c r="H121" s="14">
        <f>SUM(F118:F121)</f>
        <v>3.3360000000000003</v>
      </c>
      <c r="I121" s="13"/>
      <c r="K121" s="13">
        <v>15</v>
      </c>
      <c r="L121" s="13">
        <v>25</v>
      </c>
      <c r="M121" s="13">
        <v>400</v>
      </c>
      <c r="N121" s="13">
        <v>1</v>
      </c>
      <c r="O121" s="14">
        <f t="shared" si="50"/>
        <v>0.15</v>
      </c>
      <c r="P121" s="13"/>
      <c r="Q121" s="14"/>
      <c r="R121" s="13"/>
      <c r="T121" s="13">
        <v>10</v>
      </c>
      <c r="U121" s="13">
        <v>15</v>
      </c>
      <c r="V121" s="13">
        <v>400</v>
      </c>
      <c r="W121" s="13">
        <v>9</v>
      </c>
      <c r="X121" s="14">
        <f t="shared" si="44"/>
        <v>0.54</v>
      </c>
      <c r="Y121" s="13"/>
      <c r="Z121" s="14"/>
      <c r="AA121" s="13"/>
      <c r="AC121" s="13">
        <v>15</v>
      </c>
      <c r="AD121" s="13">
        <v>20</v>
      </c>
      <c r="AE121" s="13">
        <v>400</v>
      </c>
      <c r="AF121" s="13">
        <v>1</v>
      </c>
      <c r="AG121" s="14">
        <f t="shared" si="49"/>
        <v>0.12</v>
      </c>
      <c r="AH121" s="13"/>
      <c r="AI121" s="14"/>
      <c r="AJ121" s="13"/>
      <c r="AL121" s="13">
        <v>2</v>
      </c>
      <c r="AM121" s="13">
        <v>10</v>
      </c>
      <c r="AN121" s="13">
        <v>400</v>
      </c>
      <c r="AO121" s="13">
        <v>22</v>
      </c>
      <c r="AP121" s="14">
        <f t="shared" si="45"/>
        <v>0.17599999999999999</v>
      </c>
      <c r="AQ121" s="13"/>
      <c r="AR121" s="14"/>
      <c r="AS121" s="13"/>
      <c r="AU121" s="13">
        <v>10</v>
      </c>
      <c r="AV121" s="13">
        <v>25</v>
      </c>
      <c r="AW121" s="13">
        <v>400</v>
      </c>
      <c r="AX121" s="13">
        <v>4</v>
      </c>
      <c r="AY121" s="14">
        <f t="shared" si="37"/>
        <v>0.4</v>
      </c>
      <c r="AZ121" s="13"/>
      <c r="BA121" s="14"/>
      <c r="BB121" s="13"/>
      <c r="BD121" s="13">
        <v>10</v>
      </c>
      <c r="BE121" s="13">
        <v>23</v>
      </c>
      <c r="BF121" s="13">
        <v>400</v>
      </c>
      <c r="BG121" s="13">
        <v>2</v>
      </c>
      <c r="BH121" s="14">
        <f t="shared" si="36"/>
        <v>0.184</v>
      </c>
      <c r="BI121" s="13"/>
      <c r="BJ121" s="14"/>
      <c r="BK121" s="13"/>
      <c r="BM121" s="13">
        <v>3.5</v>
      </c>
      <c r="BN121" s="13">
        <v>20</v>
      </c>
      <c r="BO121" s="13">
        <v>400</v>
      </c>
      <c r="BP121" s="13">
        <v>2</v>
      </c>
      <c r="BQ121" s="14">
        <f t="shared" si="38"/>
        <v>5.6000000000000001E-2</v>
      </c>
      <c r="BR121" s="13"/>
      <c r="BS121" s="14"/>
      <c r="BT121" s="13"/>
      <c r="BV121" s="13">
        <v>3.5</v>
      </c>
      <c r="BW121" s="13">
        <v>15</v>
      </c>
      <c r="BX121" s="13">
        <v>400</v>
      </c>
      <c r="BY121" s="13">
        <v>1</v>
      </c>
      <c r="BZ121" s="14">
        <f t="shared" si="33"/>
        <v>2.1000000000000001E-2</v>
      </c>
      <c r="CA121" s="13"/>
      <c r="CB121" s="14"/>
      <c r="CC121" s="13"/>
      <c r="CE121" s="13">
        <v>10</v>
      </c>
      <c r="CF121" s="13">
        <v>15</v>
      </c>
      <c r="CG121" s="13">
        <v>400</v>
      </c>
      <c r="CH121" s="13">
        <v>6</v>
      </c>
      <c r="CI121" s="14">
        <f t="shared" si="46"/>
        <v>0.36</v>
      </c>
      <c r="CJ121" s="13"/>
      <c r="CK121" s="14"/>
      <c r="CL121" s="13"/>
      <c r="CN121" s="13">
        <v>2</v>
      </c>
      <c r="CO121" s="13">
        <v>10</v>
      </c>
      <c r="CP121" s="13">
        <v>400</v>
      </c>
      <c r="CQ121" s="13">
        <v>15</v>
      </c>
      <c r="CR121" s="14">
        <f t="shared" si="42"/>
        <v>0.12</v>
      </c>
      <c r="CS121" s="13"/>
      <c r="CT121" s="14"/>
      <c r="CU121" s="41"/>
      <c r="CW121" s="13">
        <v>7</v>
      </c>
      <c r="CX121" s="13">
        <v>20</v>
      </c>
      <c r="CY121" s="13">
        <v>400</v>
      </c>
      <c r="CZ121" s="13">
        <v>7</v>
      </c>
      <c r="DA121" s="14">
        <f t="shared" si="43"/>
        <v>0.39200000000000002</v>
      </c>
      <c r="DB121" s="13"/>
      <c r="DC121" s="14"/>
      <c r="DD121" s="41"/>
      <c r="DF121" s="13">
        <v>13</v>
      </c>
      <c r="DG121" s="13">
        <v>33</v>
      </c>
      <c r="DH121" s="13">
        <v>400</v>
      </c>
      <c r="DI121" s="13">
        <v>1</v>
      </c>
      <c r="DJ121" s="14">
        <f t="shared" si="47"/>
        <v>0.1716</v>
      </c>
      <c r="DK121" s="13"/>
      <c r="DL121" s="14"/>
      <c r="DM121" s="41"/>
    </row>
    <row r="122" spans="2:117" ht="15.75" x14ac:dyDescent="0.25">
      <c r="B122" s="13">
        <v>10</v>
      </c>
      <c r="C122" s="13">
        <v>30</v>
      </c>
      <c r="D122" s="13">
        <v>400</v>
      </c>
      <c r="E122" s="13">
        <v>3</v>
      </c>
      <c r="F122" s="20">
        <f t="shared" si="48"/>
        <v>0.36</v>
      </c>
      <c r="G122" s="13"/>
      <c r="H122" s="14"/>
      <c r="I122" s="13"/>
      <c r="K122" s="13">
        <v>15</v>
      </c>
      <c r="L122" s="13">
        <v>23</v>
      </c>
      <c r="M122" s="13">
        <v>400</v>
      </c>
      <c r="N122" s="13">
        <v>3</v>
      </c>
      <c r="O122" s="14">
        <f t="shared" si="50"/>
        <v>0.41399999999999998</v>
      </c>
      <c r="P122" s="13"/>
      <c r="Q122" s="14"/>
      <c r="R122" s="13"/>
      <c r="T122" s="13">
        <v>10</v>
      </c>
      <c r="U122" s="13">
        <v>13</v>
      </c>
      <c r="V122" s="13">
        <v>400</v>
      </c>
      <c r="W122" s="13">
        <v>2</v>
      </c>
      <c r="X122" s="14">
        <f t="shared" si="44"/>
        <v>0.104</v>
      </c>
      <c r="Y122" s="13"/>
      <c r="Z122" s="14"/>
      <c r="AA122" s="13"/>
      <c r="AC122" s="13">
        <v>15</v>
      </c>
      <c r="AD122" s="13">
        <v>18</v>
      </c>
      <c r="AE122" s="13">
        <v>400</v>
      </c>
      <c r="AF122" s="13">
        <v>1</v>
      </c>
      <c r="AG122" s="14">
        <f t="shared" si="49"/>
        <v>0.108</v>
      </c>
      <c r="AH122" s="13"/>
      <c r="AI122" s="14"/>
      <c r="AJ122" s="13"/>
      <c r="AL122" s="57">
        <v>3</v>
      </c>
      <c r="AM122" s="57">
        <v>5</v>
      </c>
      <c r="AN122" s="57">
        <v>300</v>
      </c>
      <c r="AO122" s="57">
        <v>10</v>
      </c>
      <c r="AP122" s="56">
        <f t="shared" si="45"/>
        <v>4.4999999999999998E-2</v>
      </c>
      <c r="AQ122" s="57"/>
      <c r="AR122" s="56"/>
      <c r="AS122" s="57"/>
      <c r="AU122" s="13">
        <v>7</v>
      </c>
      <c r="AV122" s="13">
        <v>25</v>
      </c>
      <c r="AW122" s="13">
        <v>400</v>
      </c>
      <c r="AX122" s="13">
        <v>1</v>
      </c>
      <c r="AY122" s="14">
        <f t="shared" si="37"/>
        <v>7.0000000000000007E-2</v>
      </c>
      <c r="AZ122" s="13"/>
      <c r="BA122" s="14"/>
      <c r="BB122" s="13"/>
      <c r="BD122" s="13">
        <v>4.5</v>
      </c>
      <c r="BE122" s="13">
        <v>23</v>
      </c>
      <c r="BF122" s="13">
        <v>400</v>
      </c>
      <c r="BG122" s="13">
        <v>1</v>
      </c>
      <c r="BH122" s="14">
        <f t="shared" si="36"/>
        <v>4.1399999999999999E-2</v>
      </c>
      <c r="BI122" s="13"/>
      <c r="BJ122" s="14"/>
      <c r="BK122" s="13"/>
      <c r="BM122" s="13">
        <v>4.5</v>
      </c>
      <c r="BN122" s="13">
        <v>23</v>
      </c>
      <c r="BO122" s="13">
        <v>400</v>
      </c>
      <c r="BP122" s="13">
        <v>1</v>
      </c>
      <c r="BQ122" s="14">
        <f t="shared" si="38"/>
        <v>4.1399999999999999E-2</v>
      </c>
      <c r="BR122" s="13"/>
      <c r="BS122" s="14"/>
      <c r="BT122" s="13"/>
      <c r="BV122" s="13">
        <v>7</v>
      </c>
      <c r="BW122" s="13">
        <v>15</v>
      </c>
      <c r="BX122" s="13">
        <v>400</v>
      </c>
      <c r="BY122" s="13">
        <v>2</v>
      </c>
      <c r="BZ122" s="14">
        <f t="shared" si="33"/>
        <v>8.4000000000000005E-2</v>
      </c>
      <c r="CA122" s="13"/>
      <c r="CB122" s="14"/>
      <c r="CC122" s="13"/>
      <c r="CE122" s="13">
        <v>15</v>
      </c>
      <c r="CF122" s="13">
        <v>15</v>
      </c>
      <c r="CG122" s="13">
        <v>400</v>
      </c>
      <c r="CH122" s="13">
        <v>3</v>
      </c>
      <c r="CI122" s="14">
        <f t="shared" si="46"/>
        <v>0.27</v>
      </c>
      <c r="CJ122" s="13"/>
      <c r="CK122" s="14"/>
      <c r="CL122" s="41"/>
      <c r="CN122" s="13">
        <v>12</v>
      </c>
      <c r="CO122" s="13">
        <v>15</v>
      </c>
      <c r="CP122" s="13">
        <v>300</v>
      </c>
      <c r="CQ122" s="13">
        <v>1</v>
      </c>
      <c r="CR122" s="14">
        <f t="shared" si="42"/>
        <v>5.3999999999999999E-2</v>
      </c>
      <c r="CS122" s="13"/>
      <c r="CT122" s="14"/>
      <c r="CU122" s="41"/>
      <c r="CW122" s="13">
        <v>15</v>
      </c>
      <c r="CX122" s="13">
        <v>20</v>
      </c>
      <c r="CY122" s="13">
        <v>400</v>
      </c>
      <c r="CZ122" s="13">
        <v>2</v>
      </c>
      <c r="DA122" s="14">
        <f t="shared" si="43"/>
        <v>0.24</v>
      </c>
      <c r="DB122" s="13"/>
      <c r="DC122" s="14"/>
      <c r="DD122" s="41"/>
      <c r="DF122" s="13">
        <v>10</v>
      </c>
      <c r="DG122" s="13">
        <v>33</v>
      </c>
      <c r="DH122" s="13">
        <v>400</v>
      </c>
      <c r="DI122" s="13">
        <v>1</v>
      </c>
      <c r="DJ122" s="14">
        <f t="shared" si="47"/>
        <v>0.13200000000000001</v>
      </c>
      <c r="DK122" s="13"/>
      <c r="DL122" s="14"/>
      <c r="DM122" s="41"/>
    </row>
    <row r="123" spans="2:117" ht="15.75" x14ac:dyDescent="0.25">
      <c r="B123" s="13">
        <v>10</v>
      </c>
      <c r="C123" s="13">
        <v>25</v>
      </c>
      <c r="D123" s="13">
        <v>400</v>
      </c>
      <c r="E123" s="13">
        <v>19</v>
      </c>
      <c r="F123" s="20">
        <f t="shared" si="48"/>
        <v>1.9</v>
      </c>
      <c r="G123" s="13"/>
      <c r="H123" s="14"/>
      <c r="I123" s="13"/>
      <c r="K123" s="13">
        <v>15</v>
      </c>
      <c r="L123" s="13">
        <v>20</v>
      </c>
      <c r="M123" s="13">
        <v>400</v>
      </c>
      <c r="N123" s="13">
        <v>3</v>
      </c>
      <c r="O123" s="14">
        <f t="shared" si="50"/>
        <v>0.36</v>
      </c>
      <c r="P123" s="13"/>
      <c r="Q123" s="14"/>
      <c r="R123" s="13"/>
      <c r="T123" s="13">
        <v>10</v>
      </c>
      <c r="U123" s="13">
        <v>10</v>
      </c>
      <c r="V123" s="13">
        <v>400</v>
      </c>
      <c r="W123" s="13">
        <v>1</v>
      </c>
      <c r="X123" s="14">
        <f t="shared" si="44"/>
        <v>0.04</v>
      </c>
      <c r="Y123" s="13">
        <f>SUM(W119:W123)</f>
        <v>18</v>
      </c>
      <c r="Z123" s="14">
        <f>SUM(X119:X123)</f>
        <v>1.2240000000000002</v>
      </c>
      <c r="AA123" s="13"/>
      <c r="AC123" s="13">
        <v>15</v>
      </c>
      <c r="AD123" s="13">
        <v>15</v>
      </c>
      <c r="AE123" s="13">
        <v>400</v>
      </c>
      <c r="AF123" s="13">
        <v>2</v>
      </c>
      <c r="AG123" s="14">
        <f t="shared" si="49"/>
        <v>0.18</v>
      </c>
      <c r="AH123" s="13">
        <f>SUM(AF118:AF123)</f>
        <v>11</v>
      </c>
      <c r="AI123" s="14">
        <f>SUM(AG118:AG123)</f>
        <v>1.5360000000000003</v>
      </c>
      <c r="AJ123" s="13"/>
      <c r="AL123" s="57">
        <v>2</v>
      </c>
      <c r="AM123" s="57">
        <v>3</v>
      </c>
      <c r="AN123" s="57">
        <v>300</v>
      </c>
      <c r="AO123" s="57">
        <v>25</v>
      </c>
      <c r="AP123" s="56">
        <f t="shared" si="45"/>
        <v>4.4999999999999998E-2</v>
      </c>
      <c r="AQ123" s="159">
        <f>SUM(AO111:AO123)</f>
        <v>89</v>
      </c>
      <c r="AR123" s="160">
        <f>SUM(AP111:AP123)</f>
        <v>2.2096000000000005</v>
      </c>
      <c r="AS123" s="140" t="s">
        <v>21</v>
      </c>
      <c r="AU123" s="13">
        <v>5</v>
      </c>
      <c r="AV123" s="13">
        <v>20</v>
      </c>
      <c r="AW123" s="13">
        <v>400</v>
      </c>
      <c r="AX123" s="13">
        <v>1</v>
      </c>
      <c r="AY123" s="14">
        <f t="shared" si="37"/>
        <v>0.04</v>
      </c>
      <c r="AZ123" s="13"/>
      <c r="BA123" s="14"/>
      <c r="BB123" s="13"/>
      <c r="BD123" s="13">
        <v>7</v>
      </c>
      <c r="BE123" s="13">
        <v>25</v>
      </c>
      <c r="BF123" s="13">
        <v>400</v>
      </c>
      <c r="BG123" s="13">
        <v>6</v>
      </c>
      <c r="BH123" s="14">
        <f t="shared" si="36"/>
        <v>0.42</v>
      </c>
      <c r="BI123" s="13"/>
      <c r="BJ123" s="14"/>
      <c r="BK123" s="13"/>
      <c r="BM123" s="13">
        <v>4.5</v>
      </c>
      <c r="BN123" s="13">
        <v>20</v>
      </c>
      <c r="BO123" s="13">
        <v>400</v>
      </c>
      <c r="BP123" s="13">
        <v>3</v>
      </c>
      <c r="BQ123" s="14">
        <f t="shared" si="38"/>
        <v>0.108</v>
      </c>
      <c r="BR123" s="13"/>
      <c r="BS123" s="14"/>
      <c r="BT123" s="13"/>
      <c r="BV123" s="13">
        <v>10</v>
      </c>
      <c r="BW123" s="13">
        <v>15</v>
      </c>
      <c r="BX123" s="13">
        <v>400</v>
      </c>
      <c r="BY123" s="13">
        <v>1</v>
      </c>
      <c r="BZ123" s="14">
        <f t="shared" si="33"/>
        <v>0.06</v>
      </c>
      <c r="CA123" s="13"/>
      <c r="CB123" s="14"/>
      <c r="CC123" s="13"/>
      <c r="CE123" s="13">
        <v>12</v>
      </c>
      <c r="CF123" s="13">
        <v>15</v>
      </c>
      <c r="CG123" s="13">
        <v>400</v>
      </c>
      <c r="CH123" s="13">
        <v>6</v>
      </c>
      <c r="CI123" s="14">
        <f t="shared" si="46"/>
        <v>0.432</v>
      </c>
      <c r="CJ123" s="13"/>
      <c r="CK123" s="14"/>
      <c r="CL123" s="41"/>
      <c r="CN123" s="13">
        <v>10</v>
      </c>
      <c r="CO123" s="13">
        <v>10</v>
      </c>
      <c r="CP123" s="13">
        <v>300</v>
      </c>
      <c r="CQ123" s="13">
        <v>1</v>
      </c>
      <c r="CR123" s="14">
        <f t="shared" si="42"/>
        <v>0.03</v>
      </c>
      <c r="CS123" s="13"/>
      <c r="CT123" s="14"/>
      <c r="CU123" s="41"/>
      <c r="CW123" s="13">
        <v>4.5</v>
      </c>
      <c r="CX123" s="13">
        <v>20</v>
      </c>
      <c r="CY123" s="13">
        <v>400</v>
      </c>
      <c r="CZ123" s="13">
        <v>4</v>
      </c>
      <c r="DA123" s="14">
        <f t="shared" si="43"/>
        <v>0.14399999999999999</v>
      </c>
      <c r="DB123" s="13"/>
      <c r="DC123" s="14"/>
      <c r="DD123" s="41"/>
      <c r="DF123" s="13">
        <v>2.2000000000000002</v>
      </c>
      <c r="DG123" s="13">
        <v>25</v>
      </c>
      <c r="DH123" s="13">
        <v>400</v>
      </c>
      <c r="DI123" s="13">
        <v>1</v>
      </c>
      <c r="DJ123" s="14">
        <f t="shared" si="47"/>
        <v>2.2000000000000002E-2</v>
      </c>
      <c r="DK123" s="13"/>
      <c r="DL123" s="14"/>
      <c r="DM123" s="41"/>
    </row>
    <row r="124" spans="2:117" ht="15.75" x14ac:dyDescent="0.25">
      <c r="B124" s="13">
        <v>10</v>
      </c>
      <c r="C124" s="13">
        <v>23</v>
      </c>
      <c r="D124" s="13">
        <v>400</v>
      </c>
      <c r="E124" s="13">
        <v>1</v>
      </c>
      <c r="F124" s="20">
        <f t="shared" si="48"/>
        <v>9.1999999999999998E-2</v>
      </c>
      <c r="G124" s="13"/>
      <c r="H124" s="14"/>
      <c r="I124" s="13"/>
      <c r="K124" s="13">
        <v>15</v>
      </c>
      <c r="L124" s="13">
        <v>18</v>
      </c>
      <c r="M124" s="13">
        <v>400</v>
      </c>
      <c r="N124" s="13">
        <v>2</v>
      </c>
      <c r="O124" s="14">
        <f t="shared" si="50"/>
        <v>0.216</v>
      </c>
      <c r="P124" s="13"/>
      <c r="Q124" s="14"/>
      <c r="R124" s="13"/>
      <c r="T124" s="13">
        <v>8</v>
      </c>
      <c r="U124" s="13">
        <v>25</v>
      </c>
      <c r="V124" s="13">
        <v>400</v>
      </c>
      <c r="W124" s="13">
        <v>3</v>
      </c>
      <c r="X124" s="14">
        <f t="shared" si="44"/>
        <v>0.24</v>
      </c>
      <c r="Y124" s="13"/>
      <c r="Z124" s="14"/>
      <c r="AA124" s="13"/>
      <c r="AC124" s="13">
        <v>13</v>
      </c>
      <c r="AD124" s="13">
        <v>30</v>
      </c>
      <c r="AE124" s="13">
        <v>400</v>
      </c>
      <c r="AF124" s="13">
        <v>3</v>
      </c>
      <c r="AG124" s="14">
        <f t="shared" si="49"/>
        <v>0.46800000000000003</v>
      </c>
      <c r="AH124" s="13"/>
      <c r="AI124" s="14"/>
      <c r="AJ124" s="13"/>
      <c r="AL124" s="13">
        <v>3.5</v>
      </c>
      <c r="AM124" s="13">
        <v>20</v>
      </c>
      <c r="AN124" s="13">
        <v>400</v>
      </c>
      <c r="AO124" s="13">
        <v>4</v>
      </c>
      <c r="AP124" s="14">
        <f t="shared" si="45"/>
        <v>0.112</v>
      </c>
      <c r="AQ124" s="13"/>
      <c r="AR124" s="14"/>
      <c r="AS124" s="13"/>
      <c r="AU124" s="13">
        <v>10</v>
      </c>
      <c r="AV124" s="13">
        <v>20</v>
      </c>
      <c r="AW124" s="13">
        <v>400</v>
      </c>
      <c r="AX124" s="13">
        <v>3</v>
      </c>
      <c r="AY124" s="14">
        <f t="shared" si="37"/>
        <v>0.24</v>
      </c>
      <c r="AZ124" s="13"/>
      <c r="BA124" s="14"/>
      <c r="BB124" s="13"/>
      <c r="BD124" s="13">
        <v>4.5</v>
      </c>
      <c r="BE124" s="13">
        <v>25</v>
      </c>
      <c r="BF124" s="13">
        <v>400</v>
      </c>
      <c r="BG124" s="13">
        <v>6</v>
      </c>
      <c r="BH124" s="14">
        <f t="shared" si="36"/>
        <v>0.27</v>
      </c>
      <c r="BI124" s="13"/>
      <c r="BJ124" s="14"/>
      <c r="BK124" s="13"/>
      <c r="BM124" s="13">
        <v>2.2000000000000002</v>
      </c>
      <c r="BN124" s="13">
        <v>20</v>
      </c>
      <c r="BO124" s="13">
        <v>400</v>
      </c>
      <c r="BP124" s="13">
        <v>3</v>
      </c>
      <c r="BQ124" s="14">
        <f t="shared" si="38"/>
        <v>5.28E-2</v>
      </c>
      <c r="BR124" s="13"/>
      <c r="BS124" s="14"/>
      <c r="BT124" s="13"/>
      <c r="BV124" s="122">
        <v>5</v>
      </c>
      <c r="BW124" s="122">
        <v>7</v>
      </c>
      <c r="BX124" s="122">
        <v>400</v>
      </c>
      <c r="BY124" s="122">
        <v>112</v>
      </c>
      <c r="BZ124" s="123">
        <f t="shared" si="33"/>
        <v>1.5680000000000001</v>
      </c>
      <c r="CA124" s="122"/>
      <c r="CB124" s="123"/>
      <c r="CC124" s="122"/>
      <c r="CE124" s="13">
        <v>10</v>
      </c>
      <c r="CF124" s="13">
        <v>20</v>
      </c>
      <c r="CG124" s="13">
        <v>400</v>
      </c>
      <c r="CH124" s="13">
        <v>3</v>
      </c>
      <c r="CI124" s="14">
        <f t="shared" si="46"/>
        <v>0.24</v>
      </c>
      <c r="CJ124" s="13"/>
      <c r="CK124" s="14"/>
      <c r="CL124" s="41"/>
      <c r="CN124" s="13">
        <v>4.5</v>
      </c>
      <c r="CO124" s="13">
        <v>10</v>
      </c>
      <c r="CP124" s="13">
        <v>300</v>
      </c>
      <c r="CQ124" s="13">
        <v>5</v>
      </c>
      <c r="CR124" s="14">
        <f t="shared" si="42"/>
        <v>6.7500000000000004E-2</v>
      </c>
      <c r="CS124" s="13"/>
      <c r="CT124" s="14"/>
      <c r="CU124" s="41"/>
      <c r="CW124" s="13">
        <v>8</v>
      </c>
      <c r="CX124" s="13">
        <v>20</v>
      </c>
      <c r="CY124" s="13">
        <v>400</v>
      </c>
      <c r="CZ124" s="13">
        <v>1</v>
      </c>
      <c r="DA124" s="14">
        <f t="shared" si="43"/>
        <v>6.4000000000000001E-2</v>
      </c>
      <c r="DB124" s="13"/>
      <c r="DC124" s="14"/>
      <c r="DD124" s="41"/>
      <c r="DF124" s="13">
        <v>3.5</v>
      </c>
      <c r="DG124" s="13">
        <v>25</v>
      </c>
      <c r="DH124" s="13">
        <v>400</v>
      </c>
      <c r="DI124" s="13">
        <v>1</v>
      </c>
      <c r="DJ124" s="14">
        <f t="shared" si="47"/>
        <v>3.5000000000000003E-2</v>
      </c>
      <c r="DK124" s="13"/>
      <c r="DL124" s="14"/>
      <c r="DM124" s="41"/>
    </row>
    <row r="125" spans="2:117" ht="15.75" x14ac:dyDescent="0.25">
      <c r="B125" s="13">
        <v>10</v>
      </c>
      <c r="C125" s="13">
        <v>20</v>
      </c>
      <c r="D125" s="13">
        <v>400</v>
      </c>
      <c r="E125" s="13">
        <v>9</v>
      </c>
      <c r="F125" s="20">
        <f t="shared" si="48"/>
        <v>0.72</v>
      </c>
      <c r="G125" s="13"/>
      <c r="H125" s="14"/>
      <c r="I125" s="13"/>
      <c r="K125" s="13">
        <v>15</v>
      </c>
      <c r="L125" s="13">
        <v>15</v>
      </c>
      <c r="M125" s="13">
        <v>400</v>
      </c>
      <c r="N125" s="13">
        <v>7</v>
      </c>
      <c r="O125" s="14">
        <f t="shared" si="50"/>
        <v>0.63</v>
      </c>
      <c r="P125" s="13">
        <f>SUM(N119:N125)</f>
        <v>21</v>
      </c>
      <c r="Q125" s="14">
        <f>SUM(O119:O125)</f>
        <v>2.6579999999999999</v>
      </c>
      <c r="R125" s="13"/>
      <c r="T125" s="13">
        <v>8</v>
      </c>
      <c r="U125" s="13">
        <v>20</v>
      </c>
      <c r="V125" s="13">
        <v>400</v>
      </c>
      <c r="W125" s="13">
        <v>5</v>
      </c>
      <c r="X125" s="14">
        <f t="shared" si="44"/>
        <v>0.32</v>
      </c>
      <c r="Y125" s="13"/>
      <c r="Z125" s="14"/>
      <c r="AA125" s="13"/>
      <c r="AC125" s="13">
        <v>13</v>
      </c>
      <c r="AD125" s="13">
        <v>25</v>
      </c>
      <c r="AE125" s="13">
        <v>400</v>
      </c>
      <c r="AF125" s="13">
        <v>4</v>
      </c>
      <c r="AG125" s="14">
        <f t="shared" si="49"/>
        <v>0.52</v>
      </c>
      <c r="AH125" s="13"/>
      <c r="AI125" s="14"/>
      <c r="AJ125" s="13"/>
      <c r="AL125" s="13">
        <v>2.2000000000000002</v>
      </c>
      <c r="AM125" s="13">
        <v>18</v>
      </c>
      <c r="AN125" s="13">
        <v>400</v>
      </c>
      <c r="AO125" s="13">
        <v>2</v>
      </c>
      <c r="AP125" s="14">
        <f t="shared" si="45"/>
        <v>3.168E-2</v>
      </c>
      <c r="AQ125" s="13"/>
      <c r="AR125" s="14"/>
      <c r="AS125" s="13"/>
      <c r="AU125" s="13">
        <v>8</v>
      </c>
      <c r="AV125" s="13">
        <v>20</v>
      </c>
      <c r="AW125" s="13">
        <v>400</v>
      </c>
      <c r="AX125" s="13">
        <v>1</v>
      </c>
      <c r="AY125" s="14">
        <f t="shared" si="37"/>
        <v>6.4000000000000001E-2</v>
      </c>
      <c r="AZ125" s="13"/>
      <c r="BA125" s="14"/>
      <c r="BB125" s="13"/>
      <c r="BD125" s="13">
        <v>10</v>
      </c>
      <c r="BE125" s="13">
        <v>15</v>
      </c>
      <c r="BF125" s="13">
        <v>400</v>
      </c>
      <c r="BG125" s="13">
        <v>2</v>
      </c>
      <c r="BH125" s="14">
        <f t="shared" si="36"/>
        <v>0.12</v>
      </c>
      <c r="BI125" s="13"/>
      <c r="BJ125" s="14"/>
      <c r="BK125" s="13"/>
      <c r="BM125" s="13">
        <v>8</v>
      </c>
      <c r="BN125" s="13">
        <v>20</v>
      </c>
      <c r="BO125" s="13">
        <v>400</v>
      </c>
      <c r="BP125" s="13">
        <v>1</v>
      </c>
      <c r="BQ125" s="14">
        <f t="shared" ref="BQ125:BQ139" si="51">BM125*BN125*BO125*BP125/1000000</f>
        <v>6.4000000000000001E-2</v>
      </c>
      <c r="BR125" s="13"/>
      <c r="BS125" s="14"/>
      <c r="BT125" s="13"/>
      <c r="BV125" s="122">
        <v>4</v>
      </c>
      <c r="BW125" s="122">
        <v>6</v>
      </c>
      <c r="BX125" s="122">
        <v>400</v>
      </c>
      <c r="BY125" s="122">
        <v>48</v>
      </c>
      <c r="BZ125" s="123">
        <f t="shared" si="33"/>
        <v>0.46079999999999999</v>
      </c>
      <c r="CA125" s="122"/>
      <c r="CB125" s="123"/>
      <c r="CC125" s="122"/>
      <c r="CE125" s="13">
        <v>6</v>
      </c>
      <c r="CF125" s="13">
        <v>20</v>
      </c>
      <c r="CG125" s="13">
        <v>400</v>
      </c>
      <c r="CH125" s="13">
        <v>1</v>
      </c>
      <c r="CI125" s="14">
        <f t="shared" si="46"/>
        <v>4.8000000000000001E-2</v>
      </c>
      <c r="CJ125" s="13"/>
      <c r="CK125" s="14"/>
      <c r="CL125" s="41"/>
      <c r="CN125" s="13">
        <v>2</v>
      </c>
      <c r="CO125" s="13">
        <v>10</v>
      </c>
      <c r="CP125" s="13">
        <v>300</v>
      </c>
      <c r="CQ125" s="13">
        <v>3</v>
      </c>
      <c r="CR125" s="14">
        <f t="shared" si="42"/>
        <v>1.7999999999999999E-2</v>
      </c>
      <c r="CS125" s="13">
        <f>SUM(CQ107:CQ125)</f>
        <v>75</v>
      </c>
      <c r="CT125" s="95">
        <f>SUM(CR107:CR125)</f>
        <v>2.8414999999999999</v>
      </c>
      <c r="CU125" s="41" t="s">
        <v>21</v>
      </c>
      <c r="CW125" s="61">
        <v>2.2000000000000002</v>
      </c>
      <c r="CX125" s="61">
        <v>15</v>
      </c>
      <c r="CY125" s="13">
        <v>400</v>
      </c>
      <c r="CZ125" s="61">
        <v>17</v>
      </c>
      <c r="DA125" s="63">
        <f t="shared" si="43"/>
        <v>0.22439999999999999</v>
      </c>
      <c r="DB125" s="61"/>
      <c r="DC125" s="193"/>
      <c r="DD125" s="70"/>
      <c r="DF125" s="13">
        <v>15</v>
      </c>
      <c r="DG125" s="13">
        <v>25</v>
      </c>
      <c r="DH125" s="13">
        <v>400</v>
      </c>
      <c r="DI125" s="13">
        <v>2</v>
      </c>
      <c r="DJ125" s="14">
        <f t="shared" si="47"/>
        <v>0.3</v>
      </c>
      <c r="DK125" s="13"/>
      <c r="DL125" s="14"/>
      <c r="DM125" s="41"/>
    </row>
    <row r="126" spans="2:117" ht="15.75" x14ac:dyDescent="0.25">
      <c r="B126" s="13">
        <v>10</v>
      </c>
      <c r="C126" s="13">
        <v>18</v>
      </c>
      <c r="D126" s="13">
        <v>400</v>
      </c>
      <c r="E126" s="13">
        <v>5</v>
      </c>
      <c r="F126" s="20">
        <f t="shared" si="48"/>
        <v>0.36</v>
      </c>
      <c r="G126" s="13"/>
      <c r="H126" s="14"/>
      <c r="I126" s="13"/>
      <c r="K126" s="13">
        <v>13</v>
      </c>
      <c r="L126" s="13">
        <v>30</v>
      </c>
      <c r="M126" s="13">
        <v>400</v>
      </c>
      <c r="N126" s="13">
        <v>4</v>
      </c>
      <c r="O126" s="14">
        <f t="shared" si="50"/>
        <v>0.624</v>
      </c>
      <c r="P126" s="13"/>
      <c r="Q126" s="14"/>
      <c r="R126" s="13"/>
      <c r="T126" s="13">
        <v>8</v>
      </c>
      <c r="U126" s="13">
        <v>18</v>
      </c>
      <c r="V126" s="13">
        <v>400</v>
      </c>
      <c r="W126" s="13">
        <v>1</v>
      </c>
      <c r="X126" s="14">
        <f t="shared" si="44"/>
        <v>5.7599999999999998E-2</v>
      </c>
      <c r="Y126" s="13"/>
      <c r="Z126" s="14"/>
      <c r="AA126" s="13"/>
      <c r="AC126" s="13">
        <v>13</v>
      </c>
      <c r="AD126" s="13">
        <v>23</v>
      </c>
      <c r="AE126" s="13">
        <v>400</v>
      </c>
      <c r="AF126" s="13">
        <v>4</v>
      </c>
      <c r="AG126" s="14">
        <f t="shared" si="49"/>
        <v>0.47839999999999999</v>
      </c>
      <c r="AH126" s="13"/>
      <c r="AI126" s="14"/>
      <c r="AJ126" s="13"/>
      <c r="AL126" s="13">
        <v>10</v>
      </c>
      <c r="AM126" s="13">
        <v>20</v>
      </c>
      <c r="AN126" s="13">
        <v>400</v>
      </c>
      <c r="AO126" s="13">
        <v>4</v>
      </c>
      <c r="AP126" s="14">
        <f t="shared" si="45"/>
        <v>0.32</v>
      </c>
      <c r="AQ126" s="13"/>
      <c r="AR126" s="14"/>
      <c r="AS126" s="13"/>
      <c r="AU126" s="13">
        <v>4</v>
      </c>
      <c r="AV126" s="13">
        <v>20</v>
      </c>
      <c r="AW126" s="13">
        <v>400</v>
      </c>
      <c r="AX126" s="13">
        <v>1</v>
      </c>
      <c r="AY126" s="14">
        <f t="shared" si="37"/>
        <v>3.2000000000000001E-2</v>
      </c>
      <c r="AZ126" s="13"/>
      <c r="BA126" s="14"/>
      <c r="BB126" s="13"/>
      <c r="BD126" s="13">
        <v>7</v>
      </c>
      <c r="BE126" s="13">
        <v>15</v>
      </c>
      <c r="BF126" s="13">
        <v>400</v>
      </c>
      <c r="BG126" s="13">
        <v>5</v>
      </c>
      <c r="BH126" s="14">
        <f t="shared" si="36"/>
        <v>0.21</v>
      </c>
      <c r="BI126" s="13"/>
      <c r="BJ126" s="14"/>
      <c r="BK126" s="13"/>
      <c r="BM126" s="13">
        <v>4.5</v>
      </c>
      <c r="BN126" s="13">
        <v>20</v>
      </c>
      <c r="BO126" s="13">
        <v>400</v>
      </c>
      <c r="BP126" s="13">
        <v>3</v>
      </c>
      <c r="BQ126" s="14">
        <f t="shared" si="51"/>
        <v>0.108</v>
      </c>
      <c r="BR126" s="13"/>
      <c r="BS126" s="14"/>
      <c r="BT126" s="13"/>
      <c r="BV126" s="122">
        <v>3</v>
      </c>
      <c r="BW126" s="122">
        <v>5</v>
      </c>
      <c r="BX126" s="122">
        <v>400</v>
      </c>
      <c r="BY126" s="122">
        <v>220</v>
      </c>
      <c r="BZ126" s="123">
        <f t="shared" si="33"/>
        <v>1.32</v>
      </c>
      <c r="CA126" s="133">
        <f>SUM(BY85:BY126)</f>
        <v>527</v>
      </c>
      <c r="CB126" s="134">
        <f>SUM(BZ85:BZ126)</f>
        <v>13.432000000000004</v>
      </c>
      <c r="CC126" s="126" t="s">
        <v>23</v>
      </c>
      <c r="CE126" s="13">
        <v>4</v>
      </c>
      <c r="CF126" s="13">
        <v>20</v>
      </c>
      <c r="CG126" s="13">
        <v>400</v>
      </c>
      <c r="CH126" s="13">
        <v>1</v>
      </c>
      <c r="CI126" s="14">
        <f t="shared" si="46"/>
        <v>3.2000000000000001E-2</v>
      </c>
      <c r="CJ126" s="13"/>
      <c r="CK126" s="14"/>
      <c r="CL126" s="41"/>
      <c r="CN126" s="13">
        <v>15</v>
      </c>
      <c r="CO126" s="13">
        <v>30</v>
      </c>
      <c r="CP126" s="13">
        <v>400</v>
      </c>
      <c r="CQ126" s="13">
        <v>3</v>
      </c>
      <c r="CR126" s="14">
        <f t="shared" si="42"/>
        <v>0.54</v>
      </c>
      <c r="CS126" s="13"/>
      <c r="CT126" s="14"/>
      <c r="CU126" s="41"/>
      <c r="CW126" s="13">
        <v>10</v>
      </c>
      <c r="CX126" s="13">
        <v>15</v>
      </c>
      <c r="CY126" s="13">
        <v>400</v>
      </c>
      <c r="CZ126" s="13">
        <v>7</v>
      </c>
      <c r="DA126" s="14">
        <f t="shared" si="43"/>
        <v>0.42</v>
      </c>
      <c r="DB126" s="13"/>
      <c r="DC126" s="14"/>
      <c r="DD126" s="13"/>
      <c r="DF126" s="13">
        <v>10</v>
      </c>
      <c r="DG126" s="13">
        <v>28</v>
      </c>
      <c r="DH126" s="13">
        <v>400</v>
      </c>
      <c r="DI126" s="13">
        <v>1</v>
      </c>
      <c r="DJ126" s="14">
        <f t="shared" si="47"/>
        <v>0.112</v>
      </c>
      <c r="DK126" s="13"/>
      <c r="DL126" s="14"/>
      <c r="DM126" s="41"/>
    </row>
    <row r="127" spans="2:117" ht="16.5" thickBot="1" x14ac:dyDescent="0.3">
      <c r="B127" s="13">
        <v>10</v>
      </c>
      <c r="C127" s="13">
        <v>15</v>
      </c>
      <c r="D127" s="13">
        <v>400</v>
      </c>
      <c r="E127" s="13">
        <v>7</v>
      </c>
      <c r="F127" s="20">
        <f t="shared" si="48"/>
        <v>0.42</v>
      </c>
      <c r="G127" s="13"/>
      <c r="H127" s="14"/>
      <c r="I127" s="13"/>
      <c r="K127" s="13">
        <v>13</v>
      </c>
      <c r="L127" s="13">
        <v>23</v>
      </c>
      <c r="M127" s="13">
        <v>400</v>
      </c>
      <c r="N127" s="13">
        <v>3</v>
      </c>
      <c r="O127" s="14">
        <f t="shared" si="50"/>
        <v>0.35880000000000001</v>
      </c>
      <c r="P127" s="13"/>
      <c r="Q127" s="14"/>
      <c r="R127" s="13"/>
      <c r="T127" s="13">
        <v>8</v>
      </c>
      <c r="U127" s="13">
        <v>15</v>
      </c>
      <c r="V127" s="13">
        <v>400</v>
      </c>
      <c r="W127" s="13">
        <v>5</v>
      </c>
      <c r="X127" s="14">
        <f t="shared" si="44"/>
        <v>0.24</v>
      </c>
      <c r="Y127" s="13"/>
      <c r="Z127" s="14"/>
      <c r="AA127" s="13"/>
      <c r="AC127" s="13">
        <v>13</v>
      </c>
      <c r="AD127" s="13">
        <v>20</v>
      </c>
      <c r="AE127" s="13">
        <v>400</v>
      </c>
      <c r="AF127" s="13">
        <v>2</v>
      </c>
      <c r="AG127" s="14">
        <f t="shared" si="49"/>
        <v>0.20799999999999999</v>
      </c>
      <c r="AH127" s="13"/>
      <c r="AI127" s="14"/>
      <c r="AJ127" s="13"/>
      <c r="AL127" s="13">
        <v>15</v>
      </c>
      <c r="AM127" s="13">
        <v>18</v>
      </c>
      <c r="AN127" s="13">
        <v>400</v>
      </c>
      <c r="AO127" s="13">
        <v>2</v>
      </c>
      <c r="AP127" s="14">
        <f t="shared" si="45"/>
        <v>0.216</v>
      </c>
      <c r="AQ127" s="13"/>
      <c r="AR127" s="14"/>
      <c r="AS127" s="13"/>
      <c r="AU127" s="13">
        <v>5</v>
      </c>
      <c r="AV127" s="13">
        <v>17</v>
      </c>
      <c r="AW127" s="13">
        <v>400</v>
      </c>
      <c r="AX127" s="13">
        <v>1</v>
      </c>
      <c r="AY127" s="14">
        <f t="shared" si="37"/>
        <v>3.4000000000000002E-2</v>
      </c>
      <c r="AZ127" s="13"/>
      <c r="BA127" s="14"/>
      <c r="BB127" s="13"/>
      <c r="BD127" s="13">
        <v>13</v>
      </c>
      <c r="BE127" s="13">
        <v>15</v>
      </c>
      <c r="BF127" s="13">
        <v>400</v>
      </c>
      <c r="BG127" s="13">
        <v>2</v>
      </c>
      <c r="BH127" s="14">
        <f t="shared" si="36"/>
        <v>0.156</v>
      </c>
      <c r="BI127" s="13"/>
      <c r="BJ127" s="14"/>
      <c r="BK127" s="13"/>
      <c r="BM127" s="13">
        <v>15</v>
      </c>
      <c r="BN127" s="13">
        <v>20</v>
      </c>
      <c r="BO127" s="13">
        <v>400</v>
      </c>
      <c r="BP127" s="13">
        <v>2</v>
      </c>
      <c r="BQ127" s="14">
        <f t="shared" si="51"/>
        <v>0.24</v>
      </c>
      <c r="BR127" s="13"/>
      <c r="BS127" s="14"/>
      <c r="BT127" s="13"/>
      <c r="BV127" s="237"/>
      <c r="BW127" s="237"/>
      <c r="BX127" s="238"/>
      <c r="BY127" s="98">
        <f>SUM(BY85:BY126)</f>
        <v>527</v>
      </c>
      <c r="BZ127" s="48">
        <f>SUM(BZ85:BZ126)</f>
        <v>13.432000000000004</v>
      </c>
      <c r="CA127" s="98">
        <f>SUM(CA85:CA126)</f>
        <v>527</v>
      </c>
      <c r="CB127" s="48">
        <f>SUM(CB85:CB126)</f>
        <v>13.432000000000004</v>
      </c>
      <c r="CC127" s="104"/>
      <c r="CE127" s="13">
        <v>2</v>
      </c>
      <c r="CF127" s="13">
        <v>15</v>
      </c>
      <c r="CG127" s="13">
        <v>400</v>
      </c>
      <c r="CH127" s="13">
        <v>2</v>
      </c>
      <c r="CI127" s="14">
        <f t="shared" si="46"/>
        <v>2.4E-2</v>
      </c>
      <c r="CJ127" s="13"/>
      <c r="CK127" s="14"/>
      <c r="CL127" s="41"/>
      <c r="CN127" s="13">
        <v>10</v>
      </c>
      <c r="CO127" s="13">
        <v>25</v>
      </c>
      <c r="CP127" s="13">
        <v>400</v>
      </c>
      <c r="CQ127" s="13">
        <v>2</v>
      </c>
      <c r="CR127" s="14">
        <f t="shared" si="42"/>
        <v>0.2</v>
      </c>
      <c r="CS127" s="13"/>
      <c r="CT127" s="14"/>
      <c r="CU127" s="41"/>
      <c r="CW127" s="13">
        <v>4.5</v>
      </c>
      <c r="CX127" s="13">
        <v>15</v>
      </c>
      <c r="CY127" s="13">
        <v>400</v>
      </c>
      <c r="CZ127" s="13">
        <v>10</v>
      </c>
      <c r="DA127" s="14">
        <f t="shared" si="43"/>
        <v>0.27</v>
      </c>
      <c r="DB127" s="13"/>
      <c r="DC127" s="14"/>
      <c r="DD127" s="13"/>
      <c r="DF127" s="13">
        <v>13</v>
      </c>
      <c r="DG127" s="13">
        <v>28</v>
      </c>
      <c r="DH127" s="13">
        <v>400</v>
      </c>
      <c r="DI127" s="13">
        <v>1</v>
      </c>
      <c r="DJ127" s="14">
        <f t="shared" si="47"/>
        <v>0.14560000000000001</v>
      </c>
      <c r="DK127" s="13"/>
      <c r="DL127" s="14"/>
      <c r="DM127" s="41"/>
    </row>
    <row r="128" spans="2:117" ht="16.5" thickTop="1" x14ac:dyDescent="0.25">
      <c r="B128" s="13">
        <v>10</v>
      </c>
      <c r="C128" s="13">
        <v>13</v>
      </c>
      <c r="D128" s="13">
        <v>400</v>
      </c>
      <c r="E128" s="13">
        <v>3</v>
      </c>
      <c r="F128" s="20">
        <f t="shared" si="48"/>
        <v>0.156</v>
      </c>
      <c r="G128" s="13">
        <f>SUM(E122:E128)</f>
        <v>47</v>
      </c>
      <c r="H128" s="14">
        <f>SUM(F122:F128)</f>
        <v>4.008</v>
      </c>
      <c r="I128" s="13"/>
      <c r="K128" s="13">
        <v>13</v>
      </c>
      <c r="L128" s="13">
        <v>20</v>
      </c>
      <c r="M128" s="13">
        <v>400</v>
      </c>
      <c r="N128" s="13">
        <v>4</v>
      </c>
      <c r="O128" s="14">
        <f t="shared" si="50"/>
        <v>0.41599999999999998</v>
      </c>
      <c r="P128" s="13"/>
      <c r="Q128" s="14"/>
      <c r="R128" s="13"/>
      <c r="T128" s="13">
        <v>8</v>
      </c>
      <c r="U128" s="13">
        <v>13</v>
      </c>
      <c r="V128" s="13">
        <v>400</v>
      </c>
      <c r="W128" s="13">
        <v>3</v>
      </c>
      <c r="X128" s="14">
        <f t="shared" si="44"/>
        <v>0.12479999999999999</v>
      </c>
      <c r="Y128" s="13"/>
      <c r="Z128" s="14"/>
      <c r="AA128" s="13"/>
      <c r="AC128" s="13">
        <v>13</v>
      </c>
      <c r="AD128" s="13">
        <v>18</v>
      </c>
      <c r="AE128" s="13">
        <v>400</v>
      </c>
      <c r="AF128" s="13">
        <v>3</v>
      </c>
      <c r="AG128" s="14">
        <f t="shared" si="49"/>
        <v>0.28079999999999999</v>
      </c>
      <c r="AH128" s="13"/>
      <c r="AI128" s="14"/>
      <c r="AJ128" s="13"/>
      <c r="AL128" s="13">
        <v>3.5</v>
      </c>
      <c r="AM128" s="13">
        <v>18</v>
      </c>
      <c r="AN128" s="13">
        <v>400</v>
      </c>
      <c r="AO128" s="13">
        <v>4</v>
      </c>
      <c r="AP128" s="14">
        <f t="shared" si="45"/>
        <v>0.1008</v>
      </c>
      <c r="AQ128" s="13"/>
      <c r="AR128" s="14"/>
      <c r="AS128" s="13"/>
      <c r="AU128" s="13">
        <v>13</v>
      </c>
      <c r="AV128" s="13">
        <v>15</v>
      </c>
      <c r="AW128" s="13">
        <v>400</v>
      </c>
      <c r="AX128" s="13">
        <v>4</v>
      </c>
      <c r="AY128" s="14">
        <f t="shared" si="37"/>
        <v>0.312</v>
      </c>
      <c r="AZ128" s="13"/>
      <c r="BA128" s="14"/>
      <c r="BB128" s="13"/>
      <c r="BD128" s="13">
        <v>10</v>
      </c>
      <c r="BE128" s="13">
        <v>13</v>
      </c>
      <c r="BF128" s="13">
        <v>400</v>
      </c>
      <c r="BG128" s="13">
        <v>4</v>
      </c>
      <c r="BH128" s="14">
        <f t="shared" si="36"/>
        <v>0.20799999999999999</v>
      </c>
      <c r="BI128" s="13"/>
      <c r="BJ128" s="14"/>
      <c r="BK128" s="13"/>
      <c r="BM128" s="13">
        <v>8</v>
      </c>
      <c r="BN128" s="13">
        <v>20</v>
      </c>
      <c r="BO128" s="13">
        <v>400</v>
      </c>
      <c r="BP128" s="13">
        <v>1</v>
      </c>
      <c r="BQ128" s="14">
        <f t="shared" si="51"/>
        <v>6.4000000000000001E-2</v>
      </c>
      <c r="BR128" s="13"/>
      <c r="BS128" s="14"/>
      <c r="BT128" s="13"/>
      <c r="CE128" s="13">
        <v>6</v>
      </c>
      <c r="CF128" s="13">
        <v>15</v>
      </c>
      <c r="CG128" s="13">
        <v>400</v>
      </c>
      <c r="CH128" s="13">
        <v>3</v>
      </c>
      <c r="CI128" s="14">
        <f t="shared" si="46"/>
        <v>0.108</v>
      </c>
      <c r="CJ128" s="13"/>
      <c r="CK128" s="14"/>
      <c r="CL128" s="41"/>
      <c r="CN128" s="13">
        <v>15</v>
      </c>
      <c r="CO128" s="13">
        <v>20</v>
      </c>
      <c r="CP128" s="13">
        <v>400</v>
      </c>
      <c r="CQ128" s="13">
        <v>1</v>
      </c>
      <c r="CR128" s="14">
        <f t="shared" si="42"/>
        <v>0.12</v>
      </c>
      <c r="CS128" s="13"/>
      <c r="CT128" s="14"/>
      <c r="CU128" s="41"/>
      <c r="CW128" s="13">
        <v>15</v>
      </c>
      <c r="CX128" s="13">
        <v>15</v>
      </c>
      <c r="CY128" s="13">
        <v>400</v>
      </c>
      <c r="CZ128" s="13">
        <v>2</v>
      </c>
      <c r="DA128" s="14">
        <f t="shared" si="43"/>
        <v>0.18</v>
      </c>
      <c r="DB128" s="13"/>
      <c r="DC128" s="14"/>
      <c r="DD128" s="13"/>
      <c r="DF128" s="13">
        <v>10</v>
      </c>
      <c r="DG128" s="13">
        <v>20</v>
      </c>
      <c r="DH128" s="13">
        <v>400</v>
      </c>
      <c r="DI128" s="13">
        <v>6</v>
      </c>
      <c r="DJ128" s="14">
        <f t="shared" si="47"/>
        <v>0.48</v>
      </c>
      <c r="DK128" s="13"/>
      <c r="DL128" s="14"/>
      <c r="DM128" s="41"/>
    </row>
    <row r="129" spans="2:117" ht="15.75" x14ac:dyDescent="0.25">
      <c r="B129" s="13">
        <v>8</v>
      </c>
      <c r="C129" s="13">
        <v>30</v>
      </c>
      <c r="D129" s="13">
        <v>400</v>
      </c>
      <c r="E129" s="13">
        <v>1</v>
      </c>
      <c r="F129" s="20">
        <f t="shared" si="48"/>
        <v>9.6000000000000002E-2</v>
      </c>
      <c r="G129" s="13"/>
      <c r="H129" s="14"/>
      <c r="I129" s="13"/>
      <c r="K129" s="13">
        <v>13</v>
      </c>
      <c r="L129" s="13">
        <v>18</v>
      </c>
      <c r="M129" s="13">
        <v>400</v>
      </c>
      <c r="N129" s="13">
        <v>3</v>
      </c>
      <c r="O129" s="14">
        <f t="shared" si="50"/>
        <v>0.28079999999999999</v>
      </c>
      <c r="P129" s="13"/>
      <c r="Q129" s="14"/>
      <c r="R129" s="13"/>
      <c r="T129" s="13">
        <v>8</v>
      </c>
      <c r="U129" s="13">
        <v>10</v>
      </c>
      <c r="V129" s="13">
        <v>400</v>
      </c>
      <c r="W129" s="13">
        <v>3</v>
      </c>
      <c r="X129" s="14">
        <f t="shared" si="44"/>
        <v>9.6000000000000002E-2</v>
      </c>
      <c r="Y129" s="13">
        <f>SUM(W124:W129)</f>
        <v>20</v>
      </c>
      <c r="Z129" s="14">
        <f>SUM(X124:X129)</f>
        <v>1.0784</v>
      </c>
      <c r="AA129" s="13"/>
      <c r="AC129" s="13">
        <v>13</v>
      </c>
      <c r="AD129" s="13">
        <v>15</v>
      </c>
      <c r="AE129" s="13">
        <v>400</v>
      </c>
      <c r="AF129" s="13">
        <v>6</v>
      </c>
      <c r="AG129" s="14">
        <f t="shared" si="49"/>
        <v>0.46800000000000003</v>
      </c>
      <c r="AH129" s="13"/>
      <c r="AI129" s="14"/>
      <c r="AJ129" s="13"/>
      <c r="AL129" s="13">
        <v>7</v>
      </c>
      <c r="AM129" s="13">
        <v>18</v>
      </c>
      <c r="AN129" s="13">
        <v>400</v>
      </c>
      <c r="AO129" s="13">
        <v>1</v>
      </c>
      <c r="AP129" s="14">
        <f t="shared" si="45"/>
        <v>5.04E-2</v>
      </c>
      <c r="AQ129" s="13"/>
      <c r="AR129" s="14"/>
      <c r="AS129" s="13"/>
      <c r="AU129" s="13">
        <v>10</v>
      </c>
      <c r="AV129" s="13">
        <v>17</v>
      </c>
      <c r="AW129" s="13">
        <v>400</v>
      </c>
      <c r="AX129" s="13">
        <v>1</v>
      </c>
      <c r="AY129" s="14">
        <f t="shared" si="37"/>
        <v>6.8000000000000005E-2</v>
      </c>
      <c r="AZ129" s="13"/>
      <c r="BA129" s="14"/>
      <c r="BB129" s="13"/>
      <c r="BD129" s="13">
        <v>3.5</v>
      </c>
      <c r="BE129" s="13">
        <v>10</v>
      </c>
      <c r="BF129" s="13">
        <v>400</v>
      </c>
      <c r="BG129" s="13">
        <v>1</v>
      </c>
      <c r="BH129" s="14">
        <f t="shared" si="36"/>
        <v>1.4E-2</v>
      </c>
      <c r="BI129" s="13"/>
      <c r="BJ129" s="14"/>
      <c r="BK129" s="13"/>
      <c r="BM129" s="13">
        <v>15</v>
      </c>
      <c r="BN129" s="13">
        <v>15</v>
      </c>
      <c r="BO129" s="13">
        <v>400</v>
      </c>
      <c r="BP129" s="13">
        <v>1</v>
      </c>
      <c r="BQ129" s="14">
        <f t="shared" si="51"/>
        <v>0.09</v>
      </c>
      <c r="BR129" s="13"/>
      <c r="BS129" s="14"/>
      <c r="BT129" s="13"/>
      <c r="BV129" s="231" t="s">
        <v>19</v>
      </c>
      <c r="BW129" s="231"/>
      <c r="BX129" s="231"/>
      <c r="BY129" s="231"/>
      <c r="BZ129" s="231"/>
      <c r="CA129" s="231"/>
      <c r="CB129" s="231"/>
      <c r="CC129" s="231"/>
      <c r="CE129" s="13">
        <v>5</v>
      </c>
      <c r="CF129" s="13">
        <v>15</v>
      </c>
      <c r="CG129" s="13">
        <v>400</v>
      </c>
      <c r="CH129" s="13">
        <v>2</v>
      </c>
      <c r="CI129" s="14">
        <f t="shared" si="46"/>
        <v>0.06</v>
      </c>
      <c r="CJ129" s="13"/>
      <c r="CK129" s="14"/>
      <c r="CL129" s="41"/>
      <c r="CN129" s="13">
        <v>10</v>
      </c>
      <c r="CO129" s="13">
        <v>20</v>
      </c>
      <c r="CP129" s="13">
        <v>400</v>
      </c>
      <c r="CQ129" s="13">
        <v>9</v>
      </c>
      <c r="CR129" s="14">
        <f t="shared" si="42"/>
        <v>0.72</v>
      </c>
      <c r="CS129" s="13"/>
      <c r="CT129" s="14"/>
      <c r="CU129" s="41"/>
      <c r="CW129" s="13">
        <v>13</v>
      </c>
      <c r="CX129" s="13">
        <v>15</v>
      </c>
      <c r="CY129" s="13">
        <v>400</v>
      </c>
      <c r="CZ129" s="13">
        <v>3</v>
      </c>
      <c r="DA129" s="14">
        <f t="shared" si="43"/>
        <v>0.23400000000000001</v>
      </c>
      <c r="DB129" s="13"/>
      <c r="DC129" s="14"/>
      <c r="DD129" s="13"/>
      <c r="DF129" s="13">
        <v>4.5</v>
      </c>
      <c r="DG129" s="13">
        <v>20</v>
      </c>
      <c r="DH129" s="13">
        <v>400</v>
      </c>
      <c r="DI129" s="13">
        <v>3</v>
      </c>
      <c r="DJ129" s="14">
        <f t="shared" si="47"/>
        <v>0.108</v>
      </c>
      <c r="DK129" s="13"/>
      <c r="DL129" s="14"/>
      <c r="DM129" s="41"/>
    </row>
    <row r="130" spans="2:117" ht="15.75" x14ac:dyDescent="0.25">
      <c r="B130" s="13">
        <v>8</v>
      </c>
      <c r="C130" s="13">
        <v>25</v>
      </c>
      <c r="D130" s="13">
        <v>400</v>
      </c>
      <c r="E130" s="13">
        <v>4</v>
      </c>
      <c r="F130" s="20">
        <f t="shared" si="48"/>
        <v>0.32</v>
      </c>
      <c r="G130" s="13"/>
      <c r="H130" s="14"/>
      <c r="I130" s="13"/>
      <c r="K130" s="13">
        <v>13</v>
      </c>
      <c r="L130" s="13">
        <v>15</v>
      </c>
      <c r="M130" s="13">
        <v>400</v>
      </c>
      <c r="N130" s="13">
        <v>7</v>
      </c>
      <c r="O130" s="14">
        <f t="shared" si="50"/>
        <v>0.54600000000000004</v>
      </c>
      <c r="P130" s="13"/>
      <c r="Q130" s="14"/>
      <c r="R130" s="13"/>
      <c r="T130" s="122">
        <v>5</v>
      </c>
      <c r="U130" s="122">
        <v>7</v>
      </c>
      <c r="V130" s="122">
        <v>400</v>
      </c>
      <c r="W130" s="122">
        <v>388</v>
      </c>
      <c r="X130" s="123">
        <f t="shared" si="44"/>
        <v>5.4320000000000004</v>
      </c>
      <c r="Y130" s="122">
        <f>SUM(W130)</f>
        <v>388</v>
      </c>
      <c r="Z130" s="123">
        <f>SUM(X130)</f>
        <v>5.4320000000000004</v>
      </c>
      <c r="AA130" s="122"/>
      <c r="AC130" s="13">
        <v>13</v>
      </c>
      <c r="AD130" s="13">
        <v>13</v>
      </c>
      <c r="AE130" s="13">
        <v>400</v>
      </c>
      <c r="AF130" s="13">
        <v>1</v>
      </c>
      <c r="AG130" s="14">
        <f t="shared" si="49"/>
        <v>6.7599999999999993E-2</v>
      </c>
      <c r="AH130" s="13">
        <f>SUM(AF124:AF130)</f>
        <v>23</v>
      </c>
      <c r="AI130" s="14">
        <f>SUM(AG124:AG130)</f>
        <v>2.4908000000000001</v>
      </c>
      <c r="AJ130" s="13"/>
      <c r="AL130" s="13">
        <v>4.5</v>
      </c>
      <c r="AM130" s="13">
        <v>18</v>
      </c>
      <c r="AN130" s="13">
        <v>400</v>
      </c>
      <c r="AO130" s="13">
        <v>1</v>
      </c>
      <c r="AP130" s="14">
        <f t="shared" si="45"/>
        <v>3.2399999999999998E-2</v>
      </c>
      <c r="AQ130" s="13"/>
      <c r="AR130" s="14"/>
      <c r="AS130" s="13"/>
      <c r="AU130" s="13">
        <v>5</v>
      </c>
      <c r="AV130" s="13">
        <v>15</v>
      </c>
      <c r="AW130" s="13">
        <v>400</v>
      </c>
      <c r="AX130" s="13">
        <v>10</v>
      </c>
      <c r="AY130" s="14">
        <f t="shared" si="37"/>
        <v>0.3</v>
      </c>
      <c r="AZ130" s="37"/>
      <c r="BA130" s="42"/>
      <c r="BB130" s="41"/>
      <c r="BD130" s="122">
        <v>2</v>
      </c>
      <c r="BE130" s="122">
        <v>3</v>
      </c>
      <c r="BF130" s="122">
        <v>400</v>
      </c>
      <c r="BG130" s="122">
        <v>75</v>
      </c>
      <c r="BH130" s="123">
        <f t="shared" si="36"/>
        <v>0.18</v>
      </c>
      <c r="BI130" s="122"/>
      <c r="BJ130" s="123"/>
      <c r="BK130" s="122"/>
      <c r="BM130" s="13">
        <v>10</v>
      </c>
      <c r="BN130" s="13">
        <v>15</v>
      </c>
      <c r="BO130" s="13">
        <v>400</v>
      </c>
      <c r="BP130" s="13">
        <v>2</v>
      </c>
      <c r="BQ130" s="14">
        <f t="shared" si="51"/>
        <v>0.12</v>
      </c>
      <c r="BR130" s="13"/>
      <c r="BS130" s="14"/>
      <c r="BT130" s="13"/>
      <c r="BV130" s="231"/>
      <c r="BW130" s="231"/>
      <c r="BX130" s="231"/>
      <c r="BY130" s="231"/>
      <c r="BZ130" s="231"/>
      <c r="CA130" s="231"/>
      <c r="CB130" s="231"/>
      <c r="CC130" s="231"/>
      <c r="CE130" s="13">
        <v>7</v>
      </c>
      <c r="CF130" s="13">
        <v>15</v>
      </c>
      <c r="CG130" s="13">
        <v>400</v>
      </c>
      <c r="CH130" s="13">
        <v>1</v>
      </c>
      <c r="CI130" s="14">
        <f t="shared" si="46"/>
        <v>4.2000000000000003E-2</v>
      </c>
      <c r="CJ130" s="13"/>
      <c r="CK130" s="14"/>
      <c r="CL130" s="41"/>
      <c r="CN130" s="13">
        <v>4.5</v>
      </c>
      <c r="CO130" s="13">
        <v>25</v>
      </c>
      <c r="CP130" s="13">
        <v>400</v>
      </c>
      <c r="CQ130" s="13">
        <v>1</v>
      </c>
      <c r="CR130" s="14">
        <f t="shared" si="42"/>
        <v>4.4999999999999998E-2</v>
      </c>
      <c r="CS130" s="13"/>
      <c r="CT130" s="14"/>
      <c r="CU130" s="41"/>
      <c r="CW130" s="13">
        <v>7</v>
      </c>
      <c r="CX130" s="13">
        <v>15</v>
      </c>
      <c r="CY130" s="13">
        <v>400</v>
      </c>
      <c r="CZ130" s="13">
        <v>9</v>
      </c>
      <c r="DA130" s="14">
        <f t="shared" si="43"/>
        <v>0.378</v>
      </c>
      <c r="DB130" s="13"/>
      <c r="DC130" s="14"/>
      <c r="DD130" s="13"/>
      <c r="DF130" s="13">
        <v>7</v>
      </c>
      <c r="DG130" s="13">
        <v>20</v>
      </c>
      <c r="DH130" s="13">
        <v>400</v>
      </c>
      <c r="DI130" s="13">
        <v>2</v>
      </c>
      <c r="DJ130" s="14">
        <f t="shared" si="47"/>
        <v>0.112</v>
      </c>
      <c r="DK130" s="13"/>
      <c r="DL130" s="14"/>
      <c r="DM130" s="41"/>
    </row>
    <row r="131" spans="2:117" ht="15.75" x14ac:dyDescent="0.25">
      <c r="B131" s="13">
        <v>8</v>
      </c>
      <c r="C131" s="13">
        <v>23</v>
      </c>
      <c r="D131" s="13">
        <v>400</v>
      </c>
      <c r="E131" s="13">
        <v>2</v>
      </c>
      <c r="F131" s="20">
        <f t="shared" si="48"/>
        <v>0.1472</v>
      </c>
      <c r="G131" s="13"/>
      <c r="H131" s="14"/>
      <c r="I131" s="13"/>
      <c r="K131" s="13">
        <v>13</v>
      </c>
      <c r="L131" s="13">
        <v>13</v>
      </c>
      <c r="M131" s="13">
        <v>400</v>
      </c>
      <c r="N131" s="13">
        <v>1</v>
      </c>
      <c r="O131" s="14">
        <f t="shared" si="50"/>
        <v>6.7599999999999993E-2</v>
      </c>
      <c r="P131" s="13">
        <f>SUM(N126:N131)</f>
        <v>22</v>
      </c>
      <c r="Q131" s="14">
        <f>SUM(O126:O131)</f>
        <v>2.2932000000000001</v>
      </c>
      <c r="R131" s="13"/>
      <c r="T131" s="13">
        <v>4.5</v>
      </c>
      <c r="U131" s="13">
        <v>20</v>
      </c>
      <c r="V131" s="13">
        <v>400</v>
      </c>
      <c r="W131" s="13">
        <v>1</v>
      </c>
      <c r="X131" s="14">
        <f t="shared" si="44"/>
        <v>3.5999999999999997E-2</v>
      </c>
      <c r="Y131" s="13"/>
      <c r="Z131" s="14"/>
      <c r="AA131" s="13"/>
      <c r="AC131" s="13">
        <v>10</v>
      </c>
      <c r="AD131" s="13">
        <v>30</v>
      </c>
      <c r="AE131" s="13">
        <v>400</v>
      </c>
      <c r="AF131" s="13">
        <v>2</v>
      </c>
      <c r="AG131" s="14">
        <f t="shared" si="49"/>
        <v>0.24</v>
      </c>
      <c r="AH131" s="13"/>
      <c r="AI131" s="14"/>
      <c r="AJ131" s="13"/>
      <c r="AL131" s="13">
        <v>15</v>
      </c>
      <c r="AM131" s="13">
        <v>15</v>
      </c>
      <c r="AN131" s="13">
        <v>400</v>
      </c>
      <c r="AO131" s="13">
        <v>3</v>
      </c>
      <c r="AP131" s="14">
        <f t="shared" si="45"/>
        <v>0.27</v>
      </c>
      <c r="AQ131" s="13"/>
      <c r="AR131" s="14"/>
      <c r="AS131" s="13"/>
      <c r="AU131" s="13">
        <v>2</v>
      </c>
      <c r="AV131" s="13">
        <v>15</v>
      </c>
      <c r="AW131" s="13">
        <v>400</v>
      </c>
      <c r="AX131" s="13">
        <v>8</v>
      </c>
      <c r="AY131" s="14">
        <f t="shared" si="37"/>
        <v>9.6000000000000002E-2</v>
      </c>
      <c r="AZ131" s="13"/>
      <c r="BA131" s="14"/>
      <c r="BB131" s="13"/>
      <c r="BD131" s="122">
        <v>3</v>
      </c>
      <c r="BE131" s="122">
        <v>5</v>
      </c>
      <c r="BF131" s="122">
        <v>400</v>
      </c>
      <c r="BG131" s="122">
        <v>50</v>
      </c>
      <c r="BH131" s="123">
        <f t="shared" si="36"/>
        <v>0.3</v>
      </c>
      <c r="BI131" s="122"/>
      <c r="BJ131" s="123"/>
      <c r="BK131" s="122"/>
      <c r="BM131" s="13">
        <v>7</v>
      </c>
      <c r="BN131" s="13">
        <v>15</v>
      </c>
      <c r="BO131" s="13">
        <v>400</v>
      </c>
      <c r="BP131" s="13">
        <v>2</v>
      </c>
      <c r="BQ131" s="14">
        <f t="shared" si="51"/>
        <v>8.4000000000000005E-2</v>
      </c>
      <c r="BR131" s="13"/>
      <c r="BS131" s="14"/>
      <c r="BT131" s="13"/>
      <c r="BV131" s="28" t="s">
        <v>18</v>
      </c>
      <c r="BW131" s="27" t="s">
        <v>131</v>
      </c>
      <c r="BX131" s="26"/>
      <c r="BY131" s="26"/>
      <c r="BZ131" s="26"/>
      <c r="CA131" s="26"/>
      <c r="CB131" s="26"/>
      <c r="CC131" s="26"/>
      <c r="CE131" s="13">
        <v>3</v>
      </c>
      <c r="CF131" s="13">
        <v>15</v>
      </c>
      <c r="CG131" s="13">
        <v>400</v>
      </c>
      <c r="CH131" s="13">
        <v>1</v>
      </c>
      <c r="CI131" s="14">
        <f t="shared" si="46"/>
        <v>1.7999999999999999E-2</v>
      </c>
      <c r="CJ131" s="13"/>
      <c r="CK131" s="14"/>
      <c r="CL131" s="41"/>
      <c r="CN131" s="13">
        <v>7</v>
      </c>
      <c r="CO131" s="13">
        <v>20</v>
      </c>
      <c r="CP131" s="13">
        <v>400</v>
      </c>
      <c r="CQ131" s="13">
        <v>1</v>
      </c>
      <c r="CR131" s="14">
        <f t="shared" si="42"/>
        <v>5.6000000000000001E-2</v>
      </c>
      <c r="CS131" s="13"/>
      <c r="CT131" s="14"/>
      <c r="CU131" s="41"/>
      <c r="CW131" s="61">
        <v>3.5</v>
      </c>
      <c r="CX131" s="61">
        <v>15</v>
      </c>
      <c r="CY131" s="13">
        <v>400</v>
      </c>
      <c r="CZ131" s="61">
        <v>2</v>
      </c>
      <c r="DA131" s="63">
        <f t="shared" si="43"/>
        <v>4.2000000000000003E-2</v>
      </c>
      <c r="DB131" s="61"/>
      <c r="DC131" s="63"/>
      <c r="DD131" s="70"/>
      <c r="DF131" s="13">
        <v>3.5</v>
      </c>
      <c r="DG131" s="13">
        <v>20</v>
      </c>
      <c r="DH131" s="13">
        <v>400</v>
      </c>
      <c r="DI131" s="13">
        <v>1</v>
      </c>
      <c r="DJ131" s="14">
        <f t="shared" si="47"/>
        <v>2.8000000000000001E-2</v>
      </c>
      <c r="DK131" s="13"/>
      <c r="DL131" s="14"/>
      <c r="DM131" s="41"/>
    </row>
    <row r="132" spans="2:117" ht="15.75" x14ac:dyDescent="0.25">
      <c r="B132" s="13">
        <v>8</v>
      </c>
      <c r="C132" s="13">
        <v>18</v>
      </c>
      <c r="D132" s="13">
        <v>400</v>
      </c>
      <c r="E132" s="13">
        <v>1</v>
      </c>
      <c r="F132" s="20">
        <f t="shared" si="48"/>
        <v>5.7599999999999998E-2</v>
      </c>
      <c r="G132" s="13"/>
      <c r="H132" s="14"/>
      <c r="I132" s="13"/>
      <c r="K132" s="13">
        <v>10</v>
      </c>
      <c r="L132" s="13">
        <v>30</v>
      </c>
      <c r="M132" s="13">
        <v>400</v>
      </c>
      <c r="N132" s="13">
        <v>2</v>
      </c>
      <c r="O132" s="14">
        <f t="shared" si="50"/>
        <v>0.24</v>
      </c>
      <c r="P132" s="13"/>
      <c r="Q132" s="14"/>
      <c r="R132" s="13"/>
      <c r="T132" s="13">
        <v>4.5</v>
      </c>
      <c r="U132" s="13">
        <v>15</v>
      </c>
      <c r="V132" s="13">
        <v>400</v>
      </c>
      <c r="W132" s="13">
        <v>6</v>
      </c>
      <c r="X132" s="14">
        <f t="shared" si="44"/>
        <v>0.16200000000000001</v>
      </c>
      <c r="Y132" s="13"/>
      <c r="Z132" s="14"/>
      <c r="AA132" s="13"/>
      <c r="AC132" s="13">
        <v>10</v>
      </c>
      <c r="AD132" s="13">
        <v>25</v>
      </c>
      <c r="AE132" s="13">
        <v>400</v>
      </c>
      <c r="AF132" s="13">
        <v>2</v>
      </c>
      <c r="AG132" s="14">
        <f t="shared" si="49"/>
        <v>0.2</v>
      </c>
      <c r="AH132" s="13"/>
      <c r="AI132" s="14"/>
      <c r="AJ132" s="13"/>
      <c r="AL132" s="13">
        <v>10</v>
      </c>
      <c r="AM132" s="13">
        <v>15</v>
      </c>
      <c r="AN132" s="13">
        <v>400</v>
      </c>
      <c r="AO132" s="13">
        <v>4</v>
      </c>
      <c r="AP132" s="14">
        <f t="shared" si="45"/>
        <v>0.24</v>
      </c>
      <c r="AQ132" s="13"/>
      <c r="AR132" s="14"/>
      <c r="AS132" s="13"/>
      <c r="AU132" s="13">
        <v>8</v>
      </c>
      <c r="AV132" s="13">
        <v>15</v>
      </c>
      <c r="AW132" s="13">
        <v>400</v>
      </c>
      <c r="AX132" s="13">
        <v>4</v>
      </c>
      <c r="AY132" s="14">
        <f t="shared" si="37"/>
        <v>0.192</v>
      </c>
      <c r="AZ132" s="13"/>
      <c r="BA132" s="14"/>
      <c r="BB132" s="13"/>
      <c r="BD132" s="122">
        <v>4</v>
      </c>
      <c r="BE132" s="122">
        <v>6</v>
      </c>
      <c r="BF132" s="122">
        <v>400</v>
      </c>
      <c r="BG132" s="122">
        <v>18</v>
      </c>
      <c r="BH132" s="123">
        <f t="shared" si="36"/>
        <v>0.17280000000000001</v>
      </c>
      <c r="BI132" s="122"/>
      <c r="BJ132" s="124"/>
      <c r="BK132" s="122"/>
      <c r="BM132" s="13">
        <v>2.2000000000000002</v>
      </c>
      <c r="BN132" s="13">
        <v>15</v>
      </c>
      <c r="BO132" s="13">
        <v>400</v>
      </c>
      <c r="BP132" s="13">
        <v>2</v>
      </c>
      <c r="BQ132" s="14">
        <f t="shared" si="51"/>
        <v>2.64E-2</v>
      </c>
      <c r="BR132" s="13"/>
      <c r="BS132" s="14"/>
      <c r="BT132" s="13"/>
      <c r="BV132" s="28" t="s">
        <v>16</v>
      </c>
      <c r="BW132" s="27" t="s">
        <v>35</v>
      </c>
      <c r="BX132" s="26"/>
      <c r="BY132" s="26"/>
      <c r="BZ132" s="26"/>
      <c r="CA132" s="26"/>
      <c r="CB132" s="26"/>
      <c r="CC132" s="26"/>
      <c r="CE132" s="13">
        <v>2</v>
      </c>
      <c r="CF132" s="13">
        <v>10</v>
      </c>
      <c r="CG132" s="13">
        <v>400</v>
      </c>
      <c r="CH132" s="13">
        <v>39</v>
      </c>
      <c r="CI132" s="14">
        <f t="shared" si="46"/>
        <v>0.312</v>
      </c>
      <c r="CJ132" s="13"/>
      <c r="CK132" s="14"/>
      <c r="CL132" s="41"/>
      <c r="CN132" s="13">
        <v>4.5</v>
      </c>
      <c r="CO132" s="13">
        <v>20</v>
      </c>
      <c r="CP132" s="13">
        <v>400</v>
      </c>
      <c r="CQ132" s="13">
        <v>2</v>
      </c>
      <c r="CR132" s="14">
        <f t="shared" si="42"/>
        <v>7.1999999999999995E-2</v>
      </c>
      <c r="CS132" s="13"/>
      <c r="CT132" s="14"/>
      <c r="CU132" s="41"/>
      <c r="CW132" s="61">
        <v>1.7</v>
      </c>
      <c r="CX132" s="61">
        <v>15</v>
      </c>
      <c r="CY132" s="13">
        <v>400</v>
      </c>
      <c r="CZ132" s="61">
        <v>1</v>
      </c>
      <c r="DA132" s="63">
        <f t="shared" si="43"/>
        <v>1.0200000000000001E-2</v>
      </c>
      <c r="DB132" s="61"/>
      <c r="DC132" s="63"/>
      <c r="DD132" s="70"/>
      <c r="DF132" s="13">
        <v>13</v>
      </c>
      <c r="DG132" s="13">
        <v>20</v>
      </c>
      <c r="DH132" s="13">
        <v>400</v>
      </c>
      <c r="DI132" s="13">
        <v>3</v>
      </c>
      <c r="DJ132" s="14">
        <f t="shared" si="47"/>
        <v>0.312</v>
      </c>
      <c r="DK132" s="13"/>
      <c r="DL132" s="14"/>
      <c r="DM132" s="41"/>
    </row>
    <row r="133" spans="2:117" ht="15.75" x14ac:dyDescent="0.25">
      <c r="B133" s="13">
        <v>8</v>
      </c>
      <c r="C133" s="13">
        <v>15</v>
      </c>
      <c r="D133" s="13">
        <v>400</v>
      </c>
      <c r="E133" s="13">
        <v>1</v>
      </c>
      <c r="F133" s="20">
        <f t="shared" si="48"/>
        <v>4.8000000000000001E-2</v>
      </c>
      <c r="G133" s="13"/>
      <c r="H133" s="14"/>
      <c r="I133" s="13"/>
      <c r="K133" s="13">
        <v>10</v>
      </c>
      <c r="L133" s="13">
        <v>25</v>
      </c>
      <c r="M133" s="13">
        <v>400</v>
      </c>
      <c r="N133" s="13">
        <v>4</v>
      </c>
      <c r="O133" s="14">
        <f t="shared" si="50"/>
        <v>0.4</v>
      </c>
      <c r="P133" s="13"/>
      <c r="Q133" s="14"/>
      <c r="R133" s="13"/>
      <c r="T133" s="13">
        <v>4.5</v>
      </c>
      <c r="U133" s="13">
        <v>13</v>
      </c>
      <c r="V133" s="13">
        <v>400</v>
      </c>
      <c r="W133" s="13">
        <v>6</v>
      </c>
      <c r="X133" s="14">
        <f t="shared" si="44"/>
        <v>0.1404</v>
      </c>
      <c r="Y133" s="13"/>
      <c r="Z133" s="14"/>
      <c r="AA133" s="13"/>
      <c r="AC133" s="13">
        <v>10</v>
      </c>
      <c r="AD133" s="13">
        <v>23</v>
      </c>
      <c r="AE133" s="13">
        <v>400</v>
      </c>
      <c r="AF133" s="13">
        <v>4</v>
      </c>
      <c r="AG133" s="14">
        <f t="shared" si="49"/>
        <v>0.36799999999999999</v>
      </c>
      <c r="AH133" s="13"/>
      <c r="AI133" s="14"/>
      <c r="AJ133" s="13"/>
      <c r="AL133" s="13">
        <v>4.5</v>
      </c>
      <c r="AM133" s="13">
        <v>15</v>
      </c>
      <c r="AN133" s="13">
        <v>400</v>
      </c>
      <c r="AO133" s="13">
        <v>6</v>
      </c>
      <c r="AP133" s="14">
        <f t="shared" si="45"/>
        <v>0.16200000000000001</v>
      </c>
      <c r="AQ133" s="13"/>
      <c r="AR133" s="14"/>
      <c r="AS133" s="13"/>
      <c r="AU133" s="13">
        <v>10</v>
      </c>
      <c r="AV133" s="13">
        <v>15</v>
      </c>
      <c r="AW133" s="13">
        <v>400</v>
      </c>
      <c r="AX133" s="13">
        <v>8</v>
      </c>
      <c r="AY133" s="14">
        <f t="shared" ref="AY133:AY150" si="52">AU133*AV133*AW133*AX133/1000000</f>
        <v>0.48</v>
      </c>
      <c r="AZ133" s="13"/>
      <c r="BA133" s="14"/>
      <c r="BB133" s="13"/>
      <c r="BD133" s="122">
        <v>5</v>
      </c>
      <c r="BE133" s="122">
        <v>7</v>
      </c>
      <c r="BF133" s="122">
        <v>400</v>
      </c>
      <c r="BG133" s="122">
        <v>20</v>
      </c>
      <c r="BH133" s="123">
        <f t="shared" si="36"/>
        <v>0.28000000000000003</v>
      </c>
      <c r="BI133" s="122">
        <f>SUM(BG90:BG133)</f>
        <v>361</v>
      </c>
      <c r="BJ133" s="125">
        <f>SUM(BH90:BH133)</f>
        <v>10.717039999999999</v>
      </c>
      <c r="BK133" s="126" t="s">
        <v>23</v>
      </c>
      <c r="BM133" s="13">
        <v>3.5</v>
      </c>
      <c r="BN133" s="13">
        <v>13</v>
      </c>
      <c r="BO133" s="13">
        <v>400</v>
      </c>
      <c r="BP133" s="13">
        <v>2</v>
      </c>
      <c r="BQ133" s="14">
        <f t="shared" si="51"/>
        <v>3.6400000000000002E-2</v>
      </c>
      <c r="BR133" s="13"/>
      <c r="BS133" s="14"/>
      <c r="BT133" s="13"/>
      <c r="BV133" s="43"/>
      <c r="BW133" s="25"/>
      <c r="BX133" s="25"/>
      <c r="BY133" s="25"/>
      <c r="BZ133" s="25"/>
      <c r="CA133" s="225" t="s">
        <v>132</v>
      </c>
      <c r="CB133" s="225"/>
      <c r="CC133" s="225"/>
      <c r="CE133" s="13">
        <v>3</v>
      </c>
      <c r="CF133" s="13">
        <v>10</v>
      </c>
      <c r="CG133" s="13">
        <v>400</v>
      </c>
      <c r="CH133" s="13">
        <v>2</v>
      </c>
      <c r="CI133" s="14">
        <f t="shared" si="46"/>
        <v>2.4E-2</v>
      </c>
      <c r="CJ133" s="13"/>
      <c r="CK133" s="14"/>
      <c r="CL133" s="41"/>
      <c r="CN133" s="13">
        <v>2.2000000000000002</v>
      </c>
      <c r="CO133" s="13">
        <v>20</v>
      </c>
      <c r="CP133" s="13">
        <v>400</v>
      </c>
      <c r="CQ133" s="13">
        <v>5</v>
      </c>
      <c r="CR133" s="14">
        <f t="shared" si="42"/>
        <v>8.7999999999999995E-2</v>
      </c>
      <c r="CS133" s="13"/>
      <c r="CT133" s="14"/>
      <c r="CU133" s="41"/>
      <c r="CW133" s="61">
        <v>4.5</v>
      </c>
      <c r="CX133" s="61">
        <v>13</v>
      </c>
      <c r="CY133" s="13">
        <v>400</v>
      </c>
      <c r="CZ133" s="61">
        <v>7</v>
      </c>
      <c r="DA133" s="63">
        <f t="shared" si="43"/>
        <v>0.1638</v>
      </c>
      <c r="DB133" s="61"/>
      <c r="DC133" s="63"/>
      <c r="DD133" s="70"/>
      <c r="DF133" s="13">
        <v>15</v>
      </c>
      <c r="DG133" s="13">
        <v>20</v>
      </c>
      <c r="DH133" s="13">
        <v>400</v>
      </c>
      <c r="DI133" s="13">
        <v>3</v>
      </c>
      <c r="DJ133" s="14">
        <f t="shared" si="47"/>
        <v>0.36</v>
      </c>
      <c r="DK133" s="13"/>
      <c r="DL133" s="14"/>
      <c r="DM133" s="41"/>
    </row>
    <row r="134" spans="2:117" ht="16.5" thickBot="1" x14ac:dyDescent="0.3">
      <c r="B134" s="13">
        <v>8</v>
      </c>
      <c r="C134" s="13">
        <v>10</v>
      </c>
      <c r="D134" s="13">
        <v>400</v>
      </c>
      <c r="E134" s="13">
        <v>9</v>
      </c>
      <c r="F134" s="20">
        <f t="shared" si="48"/>
        <v>0.28799999999999998</v>
      </c>
      <c r="G134" s="13">
        <f>SUM(E129:E134)</f>
        <v>18</v>
      </c>
      <c r="H134" s="14">
        <f>SUM(F129:F134)</f>
        <v>0.95680000000000009</v>
      </c>
      <c r="I134" s="13"/>
      <c r="K134" s="13">
        <v>10</v>
      </c>
      <c r="L134" s="13">
        <v>23</v>
      </c>
      <c r="M134" s="13">
        <v>400</v>
      </c>
      <c r="N134" s="13">
        <v>1</v>
      </c>
      <c r="O134" s="14">
        <f t="shared" si="50"/>
        <v>9.1999999999999998E-2</v>
      </c>
      <c r="P134" s="13"/>
      <c r="Q134" s="14"/>
      <c r="R134" s="13"/>
      <c r="T134" s="13">
        <v>4.5</v>
      </c>
      <c r="U134" s="13">
        <v>10</v>
      </c>
      <c r="V134" s="13">
        <v>400</v>
      </c>
      <c r="W134" s="13">
        <v>63</v>
      </c>
      <c r="X134" s="14">
        <f t="shared" si="44"/>
        <v>1.1339999999999999</v>
      </c>
      <c r="Y134" s="13">
        <f>SUM(W131:W134)</f>
        <v>76</v>
      </c>
      <c r="Z134" s="14">
        <f>SUM(X131:X134)</f>
        <v>1.4723999999999999</v>
      </c>
      <c r="AA134" s="13"/>
      <c r="AC134" s="13">
        <v>10</v>
      </c>
      <c r="AD134" s="13">
        <v>20</v>
      </c>
      <c r="AE134" s="13">
        <v>400</v>
      </c>
      <c r="AF134" s="13">
        <v>14</v>
      </c>
      <c r="AG134" s="14">
        <f t="shared" si="49"/>
        <v>1.1200000000000001</v>
      </c>
      <c r="AH134" s="13"/>
      <c r="AI134" s="14"/>
      <c r="AJ134" s="13"/>
      <c r="AL134" s="13">
        <v>3.5</v>
      </c>
      <c r="AM134" s="13">
        <v>15</v>
      </c>
      <c r="AN134" s="13">
        <v>400</v>
      </c>
      <c r="AO134" s="13">
        <v>3</v>
      </c>
      <c r="AP134" s="14">
        <f t="shared" si="45"/>
        <v>6.3E-2</v>
      </c>
      <c r="AQ134" s="13"/>
      <c r="AR134" s="14"/>
      <c r="AS134" s="13"/>
      <c r="AU134" s="13">
        <v>7</v>
      </c>
      <c r="AV134" s="13">
        <v>15</v>
      </c>
      <c r="AW134" s="13">
        <v>400</v>
      </c>
      <c r="AX134" s="13">
        <v>4</v>
      </c>
      <c r="AY134" s="14">
        <f t="shared" si="52"/>
        <v>0.16800000000000001</v>
      </c>
      <c r="AZ134" s="13"/>
      <c r="BA134" s="14"/>
      <c r="BB134" s="13"/>
      <c r="BD134" s="239" t="s">
        <v>52</v>
      </c>
      <c r="BE134" s="239"/>
      <c r="BF134" s="240"/>
      <c r="BG134" s="98">
        <f>SUM(BG90:BG133)</f>
        <v>361</v>
      </c>
      <c r="BH134" s="103">
        <f>SUM(BH90:BH133)</f>
        <v>10.717039999999999</v>
      </c>
      <c r="BI134" s="98">
        <f>SUM(BI90:BI133)</f>
        <v>361</v>
      </c>
      <c r="BJ134" s="103">
        <f>SUM(BJ90:BJ133)</f>
        <v>10.717039999999999</v>
      </c>
      <c r="BK134" s="104"/>
      <c r="BM134" s="13">
        <v>8</v>
      </c>
      <c r="BN134" s="13">
        <v>13</v>
      </c>
      <c r="BO134" s="13">
        <v>400</v>
      </c>
      <c r="BP134" s="13">
        <v>2</v>
      </c>
      <c r="BQ134" s="14">
        <f t="shared" si="51"/>
        <v>8.3199999999999996E-2</v>
      </c>
      <c r="BR134" s="13"/>
      <c r="BS134" s="14"/>
      <c r="BT134" s="13"/>
      <c r="BV134" s="226" t="s">
        <v>13</v>
      </c>
      <c r="BW134" s="227"/>
      <c r="BX134" s="228"/>
      <c r="BY134" s="227" t="s">
        <v>12</v>
      </c>
      <c r="BZ134" s="228"/>
      <c r="CA134" s="227" t="s">
        <v>12</v>
      </c>
      <c r="CB134" s="228"/>
      <c r="CC134" s="229" t="s">
        <v>11</v>
      </c>
      <c r="CE134" s="13">
        <v>5</v>
      </c>
      <c r="CF134" s="13">
        <v>10</v>
      </c>
      <c r="CG134" s="13">
        <v>400</v>
      </c>
      <c r="CH134" s="13">
        <v>20</v>
      </c>
      <c r="CI134" s="14">
        <f t="shared" si="46"/>
        <v>0.4</v>
      </c>
      <c r="CJ134" s="13"/>
      <c r="CK134" s="14"/>
      <c r="CL134" s="41"/>
      <c r="CN134" s="13">
        <v>13</v>
      </c>
      <c r="CO134" s="13">
        <v>15</v>
      </c>
      <c r="CP134" s="13">
        <v>400</v>
      </c>
      <c r="CQ134" s="13">
        <v>3</v>
      </c>
      <c r="CR134" s="14">
        <f t="shared" si="42"/>
        <v>0.23400000000000001</v>
      </c>
      <c r="CS134" s="37"/>
      <c r="CT134" s="36"/>
      <c r="CU134" s="41"/>
      <c r="CW134" s="61">
        <v>7</v>
      </c>
      <c r="CX134" s="61">
        <v>13</v>
      </c>
      <c r="CY134" s="13">
        <v>400</v>
      </c>
      <c r="CZ134" s="61">
        <v>2</v>
      </c>
      <c r="DA134" s="63">
        <f t="shared" si="43"/>
        <v>7.2800000000000004E-2</v>
      </c>
      <c r="DB134" s="61"/>
      <c r="DC134" s="63"/>
      <c r="DD134" s="70"/>
      <c r="DF134" s="13">
        <v>8</v>
      </c>
      <c r="DG134" s="13">
        <v>20</v>
      </c>
      <c r="DH134" s="13">
        <v>400</v>
      </c>
      <c r="DI134" s="13">
        <v>1</v>
      </c>
      <c r="DJ134" s="14">
        <f t="shared" si="47"/>
        <v>6.4000000000000001E-2</v>
      </c>
      <c r="DK134" s="13"/>
      <c r="DL134" s="14"/>
      <c r="DM134" s="41"/>
    </row>
    <row r="135" spans="2:117" ht="16.5" thickTop="1" x14ac:dyDescent="0.25">
      <c r="B135" s="13">
        <v>5</v>
      </c>
      <c r="C135" s="13">
        <v>15</v>
      </c>
      <c r="D135" s="13">
        <v>400</v>
      </c>
      <c r="E135" s="13">
        <v>6</v>
      </c>
      <c r="F135" s="20">
        <f t="shared" si="48"/>
        <v>0.18</v>
      </c>
      <c r="G135" s="13"/>
      <c r="H135" s="14"/>
      <c r="I135" s="13"/>
      <c r="K135" s="13">
        <v>10</v>
      </c>
      <c r="L135" s="13">
        <v>20</v>
      </c>
      <c r="M135" s="13">
        <v>400</v>
      </c>
      <c r="N135" s="13">
        <v>6</v>
      </c>
      <c r="O135" s="14">
        <f t="shared" si="50"/>
        <v>0.48</v>
      </c>
      <c r="P135" s="13"/>
      <c r="Q135" s="14"/>
      <c r="R135" s="13"/>
      <c r="T135" s="13">
        <v>3.5</v>
      </c>
      <c r="U135" s="13">
        <v>15</v>
      </c>
      <c r="V135" s="13">
        <v>400</v>
      </c>
      <c r="W135" s="13">
        <v>2</v>
      </c>
      <c r="X135" s="14">
        <f t="shared" si="44"/>
        <v>4.2000000000000003E-2</v>
      </c>
      <c r="Y135" s="13"/>
      <c r="Z135" s="14"/>
      <c r="AA135" s="13"/>
      <c r="AC135" s="13">
        <v>10</v>
      </c>
      <c r="AD135" s="13">
        <v>18</v>
      </c>
      <c r="AE135" s="13">
        <v>400</v>
      </c>
      <c r="AF135" s="13">
        <v>7</v>
      </c>
      <c r="AG135" s="14">
        <f t="shared" si="49"/>
        <v>0.504</v>
      </c>
      <c r="AH135" s="13"/>
      <c r="AI135" s="14"/>
      <c r="AJ135" s="13"/>
      <c r="AL135" s="13">
        <v>2.2000000000000002</v>
      </c>
      <c r="AM135" s="13">
        <v>15</v>
      </c>
      <c r="AN135" s="13">
        <v>400</v>
      </c>
      <c r="AO135" s="13">
        <v>7</v>
      </c>
      <c r="AP135" s="14">
        <f t="shared" si="45"/>
        <v>9.2399999999999996E-2</v>
      </c>
      <c r="AQ135" s="13"/>
      <c r="AR135" s="14"/>
      <c r="AS135" s="13"/>
      <c r="AU135" s="13">
        <v>4</v>
      </c>
      <c r="AV135" s="13">
        <v>15</v>
      </c>
      <c r="AW135" s="13">
        <v>400</v>
      </c>
      <c r="AX135" s="13">
        <v>9</v>
      </c>
      <c r="AY135" s="14">
        <f t="shared" si="52"/>
        <v>0.216</v>
      </c>
      <c r="AZ135" s="13"/>
      <c r="BA135" s="14"/>
      <c r="BB135" s="13"/>
      <c r="BM135" s="13">
        <v>1.7</v>
      </c>
      <c r="BN135" s="13">
        <v>15</v>
      </c>
      <c r="BO135" s="13">
        <v>400</v>
      </c>
      <c r="BP135" s="13">
        <v>1</v>
      </c>
      <c r="BQ135" s="14">
        <f t="shared" si="51"/>
        <v>1.0200000000000001E-2</v>
      </c>
      <c r="BR135" s="13"/>
      <c r="BS135" s="14"/>
      <c r="BT135" s="13"/>
      <c r="BV135" s="24" t="s">
        <v>10</v>
      </c>
      <c r="BW135" s="23" t="s">
        <v>9</v>
      </c>
      <c r="BX135" s="23" t="s">
        <v>8</v>
      </c>
      <c r="BY135" s="22" t="s">
        <v>7</v>
      </c>
      <c r="BZ135" s="21" t="s">
        <v>6</v>
      </c>
      <c r="CA135" s="22" t="s">
        <v>7</v>
      </c>
      <c r="CB135" s="21" t="s">
        <v>6</v>
      </c>
      <c r="CC135" s="230"/>
      <c r="CE135" s="13">
        <v>6</v>
      </c>
      <c r="CF135" s="13">
        <v>10</v>
      </c>
      <c r="CG135" s="13">
        <v>400</v>
      </c>
      <c r="CH135" s="13">
        <v>4</v>
      </c>
      <c r="CI135" s="14">
        <f t="shared" si="46"/>
        <v>9.6000000000000002E-2</v>
      </c>
      <c r="CJ135" s="13"/>
      <c r="CK135" s="14"/>
      <c r="CL135" s="41"/>
      <c r="CN135" s="13">
        <v>10</v>
      </c>
      <c r="CO135" s="13">
        <v>15</v>
      </c>
      <c r="CP135" s="13">
        <v>400</v>
      </c>
      <c r="CQ135" s="13">
        <v>6</v>
      </c>
      <c r="CR135" s="14">
        <f t="shared" si="42"/>
        <v>0.36</v>
      </c>
      <c r="CS135" s="13"/>
      <c r="CT135" s="14"/>
      <c r="CU135" s="13"/>
      <c r="CW135" s="61">
        <v>2.2000000000000002</v>
      </c>
      <c r="CX135" s="61">
        <v>13</v>
      </c>
      <c r="CY135" s="13">
        <v>400</v>
      </c>
      <c r="CZ135" s="61">
        <v>9</v>
      </c>
      <c r="DA135" s="63">
        <f t="shared" si="43"/>
        <v>0.10296</v>
      </c>
      <c r="DB135" s="61"/>
      <c r="DC135" s="63"/>
      <c r="DD135" s="70"/>
      <c r="DF135" s="13">
        <v>10</v>
      </c>
      <c r="DG135" s="13">
        <v>15</v>
      </c>
      <c r="DH135" s="13">
        <v>400</v>
      </c>
      <c r="DI135" s="13">
        <v>7</v>
      </c>
      <c r="DJ135" s="14">
        <f t="shared" si="47"/>
        <v>0.42</v>
      </c>
      <c r="DK135" s="13"/>
      <c r="DL135" s="14"/>
      <c r="DM135" s="41"/>
    </row>
    <row r="136" spans="2:117" ht="15.75" x14ac:dyDescent="0.25">
      <c r="B136" s="13">
        <v>5</v>
      </c>
      <c r="C136" s="13">
        <v>8</v>
      </c>
      <c r="D136" s="13">
        <v>400</v>
      </c>
      <c r="E136" s="13">
        <v>6</v>
      </c>
      <c r="F136" s="20">
        <f t="shared" si="48"/>
        <v>9.6000000000000002E-2</v>
      </c>
      <c r="G136" s="13">
        <f>SUM(E135:E136)</f>
        <v>12</v>
      </c>
      <c r="H136" s="14">
        <f>SUM(F135:F136)</f>
        <v>0.27600000000000002</v>
      </c>
      <c r="I136" s="13"/>
      <c r="K136" s="13">
        <v>10</v>
      </c>
      <c r="L136" s="13">
        <v>18</v>
      </c>
      <c r="M136" s="13">
        <v>400</v>
      </c>
      <c r="N136" s="13">
        <v>4</v>
      </c>
      <c r="O136" s="14">
        <f t="shared" si="50"/>
        <v>0.28799999999999998</v>
      </c>
      <c r="P136" s="13"/>
      <c r="Q136" s="14"/>
      <c r="R136" s="13"/>
      <c r="T136" s="13">
        <v>3.5</v>
      </c>
      <c r="U136" s="13">
        <v>13</v>
      </c>
      <c r="V136" s="13">
        <v>400</v>
      </c>
      <c r="W136" s="13">
        <v>1</v>
      </c>
      <c r="X136" s="14">
        <f t="shared" si="44"/>
        <v>1.8200000000000001E-2</v>
      </c>
      <c r="Y136" s="13"/>
      <c r="Z136" s="14"/>
      <c r="AA136" s="13"/>
      <c r="AC136" s="13">
        <v>10</v>
      </c>
      <c r="AD136" s="13">
        <v>15</v>
      </c>
      <c r="AE136" s="13">
        <v>400</v>
      </c>
      <c r="AF136" s="13">
        <v>9</v>
      </c>
      <c r="AG136" s="14">
        <f t="shared" si="49"/>
        <v>0.54</v>
      </c>
      <c r="AH136" s="13"/>
      <c r="AI136" s="14"/>
      <c r="AJ136" s="13"/>
      <c r="AL136" s="13">
        <v>1.7</v>
      </c>
      <c r="AM136" s="13">
        <v>15</v>
      </c>
      <c r="AN136" s="13">
        <v>400</v>
      </c>
      <c r="AO136" s="13">
        <v>1</v>
      </c>
      <c r="AP136" s="14">
        <f t="shared" si="45"/>
        <v>1.0200000000000001E-2</v>
      </c>
      <c r="AQ136" s="13"/>
      <c r="AR136" s="14"/>
      <c r="AS136" s="13"/>
      <c r="AU136" s="13">
        <v>15</v>
      </c>
      <c r="AV136" s="13">
        <v>15</v>
      </c>
      <c r="AW136" s="13">
        <v>400</v>
      </c>
      <c r="AX136" s="13">
        <v>1</v>
      </c>
      <c r="AY136" s="14">
        <f t="shared" si="52"/>
        <v>0.09</v>
      </c>
      <c r="AZ136" s="13"/>
      <c r="BA136" s="14"/>
      <c r="BB136" s="13"/>
      <c r="BD136" s="231" t="s">
        <v>19</v>
      </c>
      <c r="BE136" s="231"/>
      <c r="BF136" s="231"/>
      <c r="BG136" s="231"/>
      <c r="BH136" s="231"/>
      <c r="BI136" s="231"/>
      <c r="BJ136" s="231"/>
      <c r="BK136" s="231"/>
      <c r="BM136" s="13">
        <v>4.5</v>
      </c>
      <c r="BN136" s="13">
        <v>25</v>
      </c>
      <c r="BO136" s="13">
        <v>400</v>
      </c>
      <c r="BP136" s="13">
        <v>1</v>
      </c>
      <c r="BQ136" s="14">
        <f t="shared" si="51"/>
        <v>4.4999999999999998E-2</v>
      </c>
      <c r="BR136" s="13"/>
      <c r="BS136" s="14"/>
      <c r="BT136" s="13"/>
      <c r="BV136" s="13">
        <v>12</v>
      </c>
      <c r="BW136" s="13">
        <v>29</v>
      </c>
      <c r="BX136" s="13">
        <v>400</v>
      </c>
      <c r="BY136" s="13">
        <v>1</v>
      </c>
      <c r="BZ136" s="14">
        <f t="shared" ref="BZ136:BZ194" si="53">BV136*BW136*BX136*BY136/1000000</f>
        <v>0.13919999999999999</v>
      </c>
      <c r="CA136" s="13"/>
      <c r="CB136" s="14"/>
      <c r="CC136" s="13"/>
      <c r="CE136" s="13">
        <v>7</v>
      </c>
      <c r="CF136" s="13">
        <v>10</v>
      </c>
      <c r="CG136" s="13">
        <v>400</v>
      </c>
      <c r="CH136" s="13">
        <v>1</v>
      </c>
      <c r="CI136" s="14">
        <f t="shared" si="46"/>
        <v>2.8000000000000001E-2</v>
      </c>
      <c r="CJ136" s="13"/>
      <c r="CK136" s="14"/>
      <c r="CL136" s="41"/>
      <c r="CN136" s="13">
        <v>7</v>
      </c>
      <c r="CO136" s="13">
        <v>15</v>
      </c>
      <c r="CP136" s="13">
        <v>400</v>
      </c>
      <c r="CQ136" s="13">
        <v>1</v>
      </c>
      <c r="CR136" s="14">
        <f t="shared" si="42"/>
        <v>4.2000000000000003E-2</v>
      </c>
      <c r="CS136" s="13"/>
      <c r="CT136" s="14"/>
      <c r="CU136" s="13"/>
      <c r="CW136" s="61">
        <v>3.5</v>
      </c>
      <c r="CX136" s="61">
        <v>13</v>
      </c>
      <c r="CY136" s="13">
        <v>400</v>
      </c>
      <c r="CZ136" s="61">
        <v>6</v>
      </c>
      <c r="DA136" s="63">
        <f t="shared" si="43"/>
        <v>0.10920000000000001</v>
      </c>
      <c r="DB136" s="61"/>
      <c r="DC136" s="63"/>
      <c r="DD136" s="70"/>
      <c r="DF136" s="13">
        <v>13</v>
      </c>
      <c r="DG136" s="13">
        <v>15</v>
      </c>
      <c r="DH136" s="13">
        <v>400</v>
      </c>
      <c r="DI136" s="13">
        <v>3</v>
      </c>
      <c r="DJ136" s="14">
        <f t="shared" si="47"/>
        <v>0.23400000000000001</v>
      </c>
      <c r="DK136" s="13"/>
      <c r="DL136" s="14"/>
      <c r="DM136" s="41"/>
    </row>
    <row r="137" spans="2:117" ht="15.75" x14ac:dyDescent="0.25">
      <c r="B137" s="13">
        <v>4.2</v>
      </c>
      <c r="C137" s="13">
        <v>10</v>
      </c>
      <c r="D137" s="13">
        <v>400</v>
      </c>
      <c r="E137" s="13">
        <v>19</v>
      </c>
      <c r="F137" s="20">
        <f t="shared" si="48"/>
        <v>0.31919999999999998</v>
      </c>
      <c r="G137" s="13"/>
      <c r="H137" s="14"/>
      <c r="I137" s="13"/>
      <c r="K137" s="13">
        <v>10</v>
      </c>
      <c r="L137" s="13">
        <v>15</v>
      </c>
      <c r="M137" s="13">
        <v>400</v>
      </c>
      <c r="N137" s="13">
        <v>5</v>
      </c>
      <c r="O137" s="14">
        <f t="shared" si="50"/>
        <v>0.3</v>
      </c>
      <c r="P137" s="13"/>
      <c r="Q137" s="14"/>
      <c r="R137" s="13"/>
      <c r="T137" s="13">
        <v>3.5</v>
      </c>
      <c r="U137" s="13">
        <v>10</v>
      </c>
      <c r="V137" s="13">
        <v>400</v>
      </c>
      <c r="W137" s="13">
        <v>10</v>
      </c>
      <c r="X137" s="14">
        <f t="shared" si="44"/>
        <v>0.14000000000000001</v>
      </c>
      <c r="Y137" s="13">
        <f>SUM(W135:W137)</f>
        <v>13</v>
      </c>
      <c r="Z137" s="14">
        <f>SUM(X135:X137)</f>
        <v>0.20020000000000002</v>
      </c>
      <c r="AA137" s="13"/>
      <c r="AC137" s="13">
        <v>10</v>
      </c>
      <c r="AD137" s="13">
        <v>13</v>
      </c>
      <c r="AE137" s="13">
        <v>400</v>
      </c>
      <c r="AF137" s="13">
        <v>5</v>
      </c>
      <c r="AG137" s="14">
        <f t="shared" si="49"/>
        <v>0.26</v>
      </c>
      <c r="AH137" s="13"/>
      <c r="AI137" s="14"/>
      <c r="AJ137" s="13"/>
      <c r="AL137" s="13">
        <v>7</v>
      </c>
      <c r="AM137" s="13">
        <v>15</v>
      </c>
      <c r="AN137" s="13">
        <v>400</v>
      </c>
      <c r="AO137" s="13">
        <v>6</v>
      </c>
      <c r="AP137" s="14">
        <f t="shared" si="45"/>
        <v>0.252</v>
      </c>
      <c r="AQ137" s="13"/>
      <c r="AR137" s="14"/>
      <c r="AS137" s="13"/>
      <c r="AU137" s="13">
        <v>5</v>
      </c>
      <c r="AV137" s="13">
        <v>13</v>
      </c>
      <c r="AW137" s="13">
        <v>400</v>
      </c>
      <c r="AX137" s="13">
        <v>13</v>
      </c>
      <c r="AY137" s="14">
        <f t="shared" si="52"/>
        <v>0.33800000000000002</v>
      </c>
      <c r="AZ137" s="13"/>
      <c r="BA137" s="14"/>
      <c r="BB137" s="13"/>
      <c r="BD137" s="231"/>
      <c r="BE137" s="231"/>
      <c r="BF137" s="231"/>
      <c r="BG137" s="231"/>
      <c r="BH137" s="231"/>
      <c r="BI137" s="231"/>
      <c r="BJ137" s="231"/>
      <c r="BK137" s="231"/>
      <c r="BM137" s="13">
        <v>8</v>
      </c>
      <c r="BN137" s="13">
        <v>10</v>
      </c>
      <c r="BO137" s="13">
        <v>400</v>
      </c>
      <c r="BP137" s="13">
        <v>2</v>
      </c>
      <c r="BQ137" s="14">
        <f t="shared" si="51"/>
        <v>6.4000000000000001E-2</v>
      </c>
      <c r="BR137" s="13"/>
      <c r="BS137" s="14"/>
      <c r="BT137" s="13"/>
      <c r="BV137" s="13">
        <v>10</v>
      </c>
      <c r="BW137" s="13">
        <v>30</v>
      </c>
      <c r="BX137" s="13">
        <v>400</v>
      </c>
      <c r="BY137" s="13">
        <v>1</v>
      </c>
      <c r="BZ137" s="14">
        <f t="shared" si="53"/>
        <v>0.12</v>
      </c>
      <c r="CA137" s="13"/>
      <c r="CB137" s="14"/>
      <c r="CC137" s="13"/>
      <c r="CE137" s="13">
        <v>5</v>
      </c>
      <c r="CF137" s="13">
        <v>12</v>
      </c>
      <c r="CG137" s="13">
        <v>400</v>
      </c>
      <c r="CH137" s="13">
        <v>1</v>
      </c>
      <c r="CI137" s="14">
        <f t="shared" si="46"/>
        <v>2.4E-2</v>
      </c>
      <c r="CJ137" s="13"/>
      <c r="CK137" s="14"/>
      <c r="CL137" s="41"/>
      <c r="CN137" s="13">
        <v>4.5</v>
      </c>
      <c r="CO137" s="13">
        <v>15</v>
      </c>
      <c r="CP137" s="13">
        <v>400</v>
      </c>
      <c r="CQ137" s="13">
        <v>4</v>
      </c>
      <c r="CR137" s="14">
        <f t="shared" si="42"/>
        <v>0.108</v>
      </c>
      <c r="CS137" s="13"/>
      <c r="CT137" s="14"/>
      <c r="CU137" s="13"/>
      <c r="CW137" s="61">
        <v>10</v>
      </c>
      <c r="CX137" s="61">
        <v>13</v>
      </c>
      <c r="CY137" s="13">
        <v>400</v>
      </c>
      <c r="CZ137" s="61">
        <v>1</v>
      </c>
      <c r="DA137" s="63">
        <f t="shared" si="43"/>
        <v>5.1999999999999998E-2</v>
      </c>
      <c r="DB137" s="61"/>
      <c r="DC137" s="63"/>
      <c r="DD137" s="70"/>
      <c r="DF137" s="13">
        <v>8</v>
      </c>
      <c r="DG137" s="13">
        <v>15</v>
      </c>
      <c r="DH137" s="13">
        <v>400</v>
      </c>
      <c r="DI137" s="13">
        <v>4</v>
      </c>
      <c r="DJ137" s="14">
        <f t="shared" si="47"/>
        <v>0.192</v>
      </c>
      <c r="DK137" s="13"/>
      <c r="DL137" s="14"/>
      <c r="DM137" s="41"/>
    </row>
    <row r="138" spans="2:117" ht="15.75" x14ac:dyDescent="0.25">
      <c r="B138" s="122">
        <v>4.2</v>
      </c>
      <c r="C138" s="122">
        <v>7</v>
      </c>
      <c r="D138" s="122">
        <v>400</v>
      </c>
      <c r="E138" s="122">
        <v>62</v>
      </c>
      <c r="F138" s="132">
        <f t="shared" si="48"/>
        <v>0.72911999999999999</v>
      </c>
      <c r="G138" s="122">
        <f>SUM(E137:E138)</f>
        <v>81</v>
      </c>
      <c r="H138" s="123">
        <f>SUM(F137:F138)</f>
        <v>1.0483199999999999</v>
      </c>
      <c r="I138" s="122"/>
      <c r="K138" s="13">
        <v>10</v>
      </c>
      <c r="L138" s="13">
        <v>15</v>
      </c>
      <c r="M138" s="13">
        <v>350</v>
      </c>
      <c r="N138" s="13">
        <v>1</v>
      </c>
      <c r="O138" s="14">
        <f t="shared" si="50"/>
        <v>5.2499999999999998E-2</v>
      </c>
      <c r="P138" s="13"/>
      <c r="Q138" s="14"/>
      <c r="R138" s="13"/>
      <c r="T138" s="13">
        <v>2.2000000000000002</v>
      </c>
      <c r="U138" s="13">
        <v>20</v>
      </c>
      <c r="V138" s="13">
        <v>400</v>
      </c>
      <c r="W138" s="13">
        <v>5</v>
      </c>
      <c r="X138" s="14">
        <f t="shared" si="44"/>
        <v>8.7999999999999995E-2</v>
      </c>
      <c r="Y138" s="13"/>
      <c r="Z138" s="14"/>
      <c r="AA138" s="13"/>
      <c r="AC138" s="13">
        <v>10</v>
      </c>
      <c r="AD138" s="13">
        <v>10</v>
      </c>
      <c r="AE138" s="13">
        <v>400</v>
      </c>
      <c r="AF138" s="13">
        <v>2</v>
      </c>
      <c r="AG138" s="14">
        <f t="shared" si="49"/>
        <v>0.08</v>
      </c>
      <c r="AH138" s="13">
        <f>SUM(AF131:AF138)</f>
        <v>45</v>
      </c>
      <c r="AI138" s="14">
        <f>SUM(AG131:AG138)</f>
        <v>3.3120000000000003</v>
      </c>
      <c r="AJ138" s="13"/>
      <c r="AL138" s="13">
        <v>3.5</v>
      </c>
      <c r="AM138" s="13">
        <v>13</v>
      </c>
      <c r="AN138" s="13">
        <v>400</v>
      </c>
      <c r="AO138" s="13">
        <v>2</v>
      </c>
      <c r="AP138" s="14">
        <f t="shared" si="45"/>
        <v>3.6400000000000002E-2</v>
      </c>
      <c r="AQ138" s="13"/>
      <c r="AR138" s="14"/>
      <c r="AS138" s="13"/>
      <c r="AU138" s="13">
        <v>4</v>
      </c>
      <c r="AV138" s="13">
        <v>13</v>
      </c>
      <c r="AW138" s="13">
        <v>400</v>
      </c>
      <c r="AX138" s="13">
        <v>8</v>
      </c>
      <c r="AY138" s="14">
        <f t="shared" si="52"/>
        <v>0.16639999999999999</v>
      </c>
      <c r="AZ138" s="13"/>
      <c r="BA138" s="14"/>
      <c r="BB138" s="13"/>
      <c r="BD138" s="28" t="s">
        <v>18</v>
      </c>
      <c r="BE138" s="27" t="s">
        <v>106</v>
      </c>
      <c r="BF138" s="26"/>
      <c r="BG138" s="26"/>
      <c r="BH138" s="26"/>
      <c r="BI138" s="26"/>
      <c r="BJ138" s="26"/>
      <c r="BK138" s="26"/>
      <c r="BM138" s="13">
        <v>1.7</v>
      </c>
      <c r="BN138" s="13">
        <v>10</v>
      </c>
      <c r="BO138" s="13">
        <v>400</v>
      </c>
      <c r="BP138" s="13">
        <v>1</v>
      </c>
      <c r="BQ138" s="14">
        <f t="shared" si="51"/>
        <v>6.7999999999999996E-3</v>
      </c>
      <c r="BR138" s="13"/>
      <c r="BS138" s="96"/>
      <c r="BT138" s="13"/>
      <c r="BV138" s="13">
        <v>7</v>
      </c>
      <c r="BW138" s="13">
        <v>33</v>
      </c>
      <c r="BX138" s="13">
        <v>400</v>
      </c>
      <c r="BY138" s="13">
        <v>1</v>
      </c>
      <c r="BZ138" s="14">
        <f t="shared" si="53"/>
        <v>9.2399999999999996E-2</v>
      </c>
      <c r="CA138" s="13"/>
      <c r="CB138" s="14"/>
      <c r="CC138" s="13"/>
      <c r="CE138" s="13">
        <v>10</v>
      </c>
      <c r="CF138" s="13">
        <v>10</v>
      </c>
      <c r="CG138" s="13">
        <v>400</v>
      </c>
      <c r="CH138" s="13">
        <v>1</v>
      </c>
      <c r="CI138" s="14">
        <f t="shared" si="46"/>
        <v>0.04</v>
      </c>
      <c r="CJ138" s="13"/>
      <c r="CK138" s="14"/>
      <c r="CL138" s="41"/>
      <c r="CN138" s="13">
        <v>2.2000000000000002</v>
      </c>
      <c r="CO138" s="13">
        <v>15</v>
      </c>
      <c r="CP138" s="13">
        <v>400</v>
      </c>
      <c r="CQ138" s="13">
        <v>1</v>
      </c>
      <c r="CR138" s="14">
        <f t="shared" si="42"/>
        <v>1.32E-2</v>
      </c>
      <c r="CS138" s="13"/>
      <c r="CT138" s="14"/>
      <c r="CU138" s="13"/>
      <c r="CW138" s="61">
        <v>1.7</v>
      </c>
      <c r="CX138" s="61">
        <v>13</v>
      </c>
      <c r="CY138" s="13">
        <v>400</v>
      </c>
      <c r="CZ138" s="61">
        <v>1</v>
      </c>
      <c r="DA138" s="63">
        <f t="shared" si="43"/>
        <v>8.8400000000000006E-3</v>
      </c>
      <c r="DB138" s="61"/>
      <c r="DC138" s="63"/>
      <c r="DD138" s="70"/>
      <c r="DF138" s="13">
        <v>7</v>
      </c>
      <c r="DG138" s="13">
        <v>15</v>
      </c>
      <c r="DH138" s="13">
        <v>400</v>
      </c>
      <c r="DI138" s="13">
        <v>7</v>
      </c>
      <c r="DJ138" s="14">
        <f t="shared" si="47"/>
        <v>0.29399999999999998</v>
      </c>
      <c r="DK138" s="13"/>
      <c r="DL138" s="14"/>
      <c r="DM138" s="41"/>
    </row>
    <row r="139" spans="2:117" ht="15.75" x14ac:dyDescent="0.25">
      <c r="B139" s="13">
        <v>4</v>
      </c>
      <c r="C139" s="13">
        <v>10</v>
      </c>
      <c r="D139" s="13">
        <v>400</v>
      </c>
      <c r="E139" s="13">
        <v>120</v>
      </c>
      <c r="F139" s="20">
        <f t="shared" si="48"/>
        <v>1.92</v>
      </c>
      <c r="G139" s="13">
        <f>SUM(E139)</f>
        <v>120</v>
      </c>
      <c r="H139" s="14">
        <f>SUM(F139)</f>
        <v>1.92</v>
      </c>
      <c r="I139" s="13"/>
      <c r="K139" s="13">
        <v>10</v>
      </c>
      <c r="L139" s="13">
        <v>15</v>
      </c>
      <c r="M139" s="13">
        <v>300</v>
      </c>
      <c r="N139" s="13">
        <v>1</v>
      </c>
      <c r="O139" s="14">
        <f t="shared" si="50"/>
        <v>4.4999999999999998E-2</v>
      </c>
      <c r="P139" s="13"/>
      <c r="Q139" s="14"/>
      <c r="R139" s="13"/>
      <c r="T139" s="13">
        <v>2.2000000000000002</v>
      </c>
      <c r="U139" s="13">
        <v>18</v>
      </c>
      <c r="V139" s="13">
        <v>400</v>
      </c>
      <c r="W139" s="13">
        <v>1</v>
      </c>
      <c r="X139" s="14">
        <f t="shared" si="44"/>
        <v>1.584E-2</v>
      </c>
      <c r="Y139" s="13"/>
      <c r="Z139" s="14"/>
      <c r="AA139" s="13"/>
      <c r="AC139" s="13">
        <v>7</v>
      </c>
      <c r="AD139" s="13">
        <v>25</v>
      </c>
      <c r="AE139" s="13">
        <v>400</v>
      </c>
      <c r="AF139" s="13">
        <v>1</v>
      </c>
      <c r="AG139" s="14">
        <f t="shared" si="49"/>
        <v>7.0000000000000007E-2</v>
      </c>
      <c r="AH139" s="13"/>
      <c r="AI139" s="14"/>
      <c r="AJ139" s="13"/>
      <c r="AL139" s="13">
        <v>10</v>
      </c>
      <c r="AM139" s="13">
        <v>13</v>
      </c>
      <c r="AN139" s="13">
        <v>400</v>
      </c>
      <c r="AO139" s="13">
        <v>2</v>
      </c>
      <c r="AP139" s="14">
        <f t="shared" si="45"/>
        <v>0.104</v>
      </c>
      <c r="AQ139" s="13"/>
      <c r="AR139" s="14"/>
      <c r="AS139" s="13"/>
      <c r="AU139" s="13">
        <v>13</v>
      </c>
      <c r="AV139" s="13">
        <v>13</v>
      </c>
      <c r="AW139" s="13">
        <v>400</v>
      </c>
      <c r="AX139" s="13">
        <v>2</v>
      </c>
      <c r="AY139" s="14">
        <f t="shared" si="52"/>
        <v>0.13519999999999999</v>
      </c>
      <c r="AZ139" s="13"/>
      <c r="BA139" s="14"/>
      <c r="BB139" s="13"/>
      <c r="BD139" s="28" t="s">
        <v>16</v>
      </c>
      <c r="BE139" s="27" t="s">
        <v>107</v>
      </c>
      <c r="BF139" s="26"/>
      <c r="BG139" s="26"/>
      <c r="BH139" s="26"/>
      <c r="BI139" s="26"/>
      <c r="BJ139" s="26"/>
      <c r="BK139" s="26"/>
      <c r="BM139" s="122">
        <v>5</v>
      </c>
      <c r="BN139" s="122">
        <v>7</v>
      </c>
      <c r="BO139" s="122">
        <v>400</v>
      </c>
      <c r="BP139" s="122">
        <v>48</v>
      </c>
      <c r="BQ139" s="123">
        <f t="shared" si="51"/>
        <v>0.67200000000000004</v>
      </c>
      <c r="BR139" s="133">
        <f>SUM(BP97:BP139)</f>
        <v>198</v>
      </c>
      <c r="BS139" s="134">
        <f>SUM(BQ97:BQ139)</f>
        <v>7.6283200000000004</v>
      </c>
      <c r="BT139" s="126" t="s">
        <v>23</v>
      </c>
      <c r="BV139" s="13">
        <v>10</v>
      </c>
      <c r="BW139" s="13">
        <v>27</v>
      </c>
      <c r="BX139" s="13">
        <v>400</v>
      </c>
      <c r="BY139" s="13">
        <v>1</v>
      </c>
      <c r="BZ139" s="14">
        <f t="shared" si="53"/>
        <v>0.108</v>
      </c>
      <c r="CA139" s="13"/>
      <c r="CB139" s="14"/>
      <c r="CC139" s="13"/>
      <c r="CE139" s="13">
        <v>4</v>
      </c>
      <c r="CF139" s="13">
        <v>10</v>
      </c>
      <c r="CG139" s="13">
        <v>400</v>
      </c>
      <c r="CH139" s="13">
        <v>1</v>
      </c>
      <c r="CI139" s="14">
        <f t="shared" si="46"/>
        <v>1.6E-2</v>
      </c>
      <c r="CJ139" s="13"/>
      <c r="CK139" s="14"/>
      <c r="CL139" s="41"/>
      <c r="CN139" s="13">
        <v>10</v>
      </c>
      <c r="CO139" s="13">
        <v>13</v>
      </c>
      <c r="CP139" s="13">
        <v>400</v>
      </c>
      <c r="CQ139" s="13">
        <v>1</v>
      </c>
      <c r="CR139" s="14">
        <f t="shared" si="42"/>
        <v>5.1999999999999998E-2</v>
      </c>
      <c r="CS139" s="13"/>
      <c r="CT139" s="14"/>
      <c r="CU139" s="13"/>
      <c r="CW139" s="13">
        <v>4.5</v>
      </c>
      <c r="CX139" s="13">
        <v>10</v>
      </c>
      <c r="CY139" s="13">
        <v>400</v>
      </c>
      <c r="CZ139" s="13">
        <v>25</v>
      </c>
      <c r="DA139" s="14">
        <f t="shared" si="43"/>
        <v>0.45</v>
      </c>
      <c r="DB139" s="13"/>
      <c r="DC139" s="14"/>
      <c r="DD139" s="41"/>
      <c r="DF139" s="13">
        <v>2.2000000000000002</v>
      </c>
      <c r="DG139" s="13">
        <v>15</v>
      </c>
      <c r="DH139" s="13">
        <v>400</v>
      </c>
      <c r="DI139" s="13">
        <v>7</v>
      </c>
      <c r="DJ139" s="14">
        <f t="shared" si="47"/>
        <v>9.2399999999999996E-2</v>
      </c>
      <c r="DK139" s="13"/>
      <c r="DL139" s="14"/>
      <c r="DM139" s="41"/>
    </row>
    <row r="140" spans="2:117" ht="16.5" thickBot="1" x14ac:dyDescent="0.3">
      <c r="B140" s="13">
        <v>2.2000000000000002</v>
      </c>
      <c r="C140" s="13">
        <v>25</v>
      </c>
      <c r="D140" s="13">
        <v>400</v>
      </c>
      <c r="E140" s="13">
        <v>2</v>
      </c>
      <c r="F140" s="20">
        <f t="shared" si="48"/>
        <v>4.4000000000000004E-2</v>
      </c>
      <c r="G140" s="13"/>
      <c r="H140" s="14"/>
      <c r="I140" s="13"/>
      <c r="K140" s="13">
        <v>10</v>
      </c>
      <c r="L140" s="13">
        <v>13</v>
      </c>
      <c r="M140" s="13">
        <v>400</v>
      </c>
      <c r="N140" s="13">
        <v>9</v>
      </c>
      <c r="O140" s="14">
        <f t="shared" si="50"/>
        <v>0.46800000000000003</v>
      </c>
      <c r="P140" s="13"/>
      <c r="Q140" s="14"/>
      <c r="R140" s="13"/>
      <c r="T140" s="13">
        <v>2.2000000000000002</v>
      </c>
      <c r="U140" s="13">
        <v>15</v>
      </c>
      <c r="V140" s="13">
        <v>400</v>
      </c>
      <c r="W140" s="13">
        <v>17</v>
      </c>
      <c r="X140" s="14">
        <f t="shared" si="44"/>
        <v>0.22439999999999999</v>
      </c>
      <c r="Y140" s="13"/>
      <c r="Z140" s="14"/>
      <c r="AA140" s="13"/>
      <c r="AC140" s="13">
        <v>7</v>
      </c>
      <c r="AD140" s="13">
        <v>23</v>
      </c>
      <c r="AE140" s="13">
        <v>400</v>
      </c>
      <c r="AF140" s="13">
        <v>4</v>
      </c>
      <c r="AG140" s="14">
        <f t="shared" si="49"/>
        <v>0.2576</v>
      </c>
      <c r="AH140" s="13"/>
      <c r="AI140" s="14"/>
      <c r="AJ140" s="13"/>
      <c r="AL140" s="13">
        <v>4.5</v>
      </c>
      <c r="AM140" s="13">
        <v>13</v>
      </c>
      <c r="AN140" s="13">
        <v>400</v>
      </c>
      <c r="AO140" s="13">
        <v>6</v>
      </c>
      <c r="AP140" s="14">
        <f t="shared" si="45"/>
        <v>0.1404</v>
      </c>
      <c r="AQ140" s="13"/>
      <c r="AR140" s="14"/>
      <c r="AS140" s="13"/>
      <c r="AU140" s="13">
        <v>2</v>
      </c>
      <c r="AV140" s="13">
        <v>13</v>
      </c>
      <c r="AW140" s="13">
        <v>400</v>
      </c>
      <c r="AX140" s="13">
        <v>11</v>
      </c>
      <c r="AY140" s="14">
        <f t="shared" si="52"/>
        <v>0.1144</v>
      </c>
      <c r="AZ140" s="13"/>
      <c r="BA140" s="14"/>
      <c r="BB140" s="13"/>
      <c r="BD140" s="43"/>
      <c r="BE140" s="25"/>
      <c r="BF140" s="25"/>
      <c r="BG140" s="25"/>
      <c r="BH140" s="25"/>
      <c r="BI140" s="225" t="s">
        <v>103</v>
      </c>
      <c r="BJ140" s="225"/>
      <c r="BK140" s="225"/>
      <c r="BM140" s="237"/>
      <c r="BN140" s="237"/>
      <c r="BO140" s="238"/>
      <c r="BP140" s="98">
        <f>SUM(BP67:BP139)</f>
        <v>630</v>
      </c>
      <c r="BQ140" s="48">
        <f>SUM(BQ67:BQ139)</f>
        <v>12.124319999999999</v>
      </c>
      <c r="BR140" s="98">
        <f>SUM(BR67:BR139)</f>
        <v>630</v>
      </c>
      <c r="BS140" s="48">
        <f>SUM(BS67:BS139)</f>
        <v>12.124320000000001</v>
      </c>
      <c r="BT140" s="104"/>
      <c r="BV140" s="13">
        <v>12</v>
      </c>
      <c r="BW140" s="13">
        <v>25</v>
      </c>
      <c r="BX140" s="13">
        <v>400</v>
      </c>
      <c r="BY140" s="13">
        <v>1</v>
      </c>
      <c r="BZ140" s="14">
        <f t="shared" si="53"/>
        <v>0.12</v>
      </c>
      <c r="CA140" s="13"/>
      <c r="CB140" s="14"/>
      <c r="CC140" s="13"/>
      <c r="CE140" s="57">
        <v>4</v>
      </c>
      <c r="CF140" s="57">
        <v>6</v>
      </c>
      <c r="CG140" s="57">
        <v>400</v>
      </c>
      <c r="CH140" s="57">
        <v>18</v>
      </c>
      <c r="CI140" s="56">
        <f t="shared" si="46"/>
        <v>0.17280000000000001</v>
      </c>
      <c r="CJ140" s="57"/>
      <c r="CK140" s="56"/>
      <c r="CL140" s="140"/>
      <c r="CN140" s="13">
        <v>7</v>
      </c>
      <c r="CO140" s="13">
        <v>13</v>
      </c>
      <c r="CP140" s="13">
        <v>400</v>
      </c>
      <c r="CQ140" s="13">
        <v>1</v>
      </c>
      <c r="CR140" s="14">
        <f t="shared" si="42"/>
        <v>3.6400000000000002E-2</v>
      </c>
      <c r="CS140" s="13"/>
      <c r="CT140" s="14"/>
      <c r="CU140" s="13"/>
      <c r="CW140" s="13">
        <v>3.5</v>
      </c>
      <c r="CX140" s="13">
        <v>10</v>
      </c>
      <c r="CY140" s="13">
        <v>400</v>
      </c>
      <c r="CZ140" s="13">
        <v>3</v>
      </c>
      <c r="DA140" s="14">
        <f t="shared" si="43"/>
        <v>4.2000000000000003E-2</v>
      </c>
      <c r="DB140" s="13"/>
      <c r="DC140" s="14"/>
      <c r="DD140" s="41"/>
      <c r="DF140" s="13">
        <v>4.5</v>
      </c>
      <c r="DG140" s="13">
        <v>15</v>
      </c>
      <c r="DH140" s="13">
        <v>400</v>
      </c>
      <c r="DI140" s="13">
        <v>7</v>
      </c>
      <c r="DJ140" s="14">
        <f t="shared" si="47"/>
        <v>0.189</v>
      </c>
      <c r="DK140" s="13"/>
      <c r="DL140" s="14"/>
      <c r="DM140" s="41"/>
    </row>
    <row r="141" spans="2:117" ht="16.5" thickTop="1" x14ac:dyDescent="0.25">
      <c r="B141" s="13">
        <v>2.2000000000000002</v>
      </c>
      <c r="C141" s="13">
        <v>18</v>
      </c>
      <c r="D141" s="13">
        <v>400</v>
      </c>
      <c r="E141" s="13">
        <v>1</v>
      </c>
      <c r="F141" s="20">
        <f t="shared" si="48"/>
        <v>1.584E-2</v>
      </c>
      <c r="G141" s="13"/>
      <c r="H141" s="14"/>
      <c r="I141" s="13"/>
      <c r="K141" s="13">
        <v>10</v>
      </c>
      <c r="L141" s="13">
        <v>13</v>
      </c>
      <c r="M141" s="13">
        <v>350</v>
      </c>
      <c r="N141" s="13">
        <v>1</v>
      </c>
      <c r="O141" s="14">
        <f t="shared" si="50"/>
        <v>4.5499999999999999E-2</v>
      </c>
      <c r="P141" s="13"/>
      <c r="Q141" s="14"/>
      <c r="R141" s="13"/>
      <c r="T141" s="13">
        <v>2.2000000000000002</v>
      </c>
      <c r="U141" s="13">
        <v>13</v>
      </c>
      <c r="V141" s="13">
        <v>400</v>
      </c>
      <c r="W141" s="13">
        <v>12</v>
      </c>
      <c r="X141" s="14">
        <f t="shared" si="44"/>
        <v>0.13728000000000001</v>
      </c>
      <c r="Y141" s="13"/>
      <c r="Z141" s="14"/>
      <c r="AA141" s="13"/>
      <c r="AC141" s="13">
        <v>7</v>
      </c>
      <c r="AD141" s="13">
        <v>20</v>
      </c>
      <c r="AE141" s="13">
        <v>400</v>
      </c>
      <c r="AF141" s="13">
        <v>5</v>
      </c>
      <c r="AG141" s="14">
        <f t="shared" si="49"/>
        <v>0.28000000000000003</v>
      </c>
      <c r="AH141" s="13"/>
      <c r="AI141" s="14"/>
      <c r="AJ141" s="13"/>
      <c r="AL141" s="13">
        <v>2.2000000000000002</v>
      </c>
      <c r="AM141" s="13">
        <v>13</v>
      </c>
      <c r="AN141" s="13">
        <v>400</v>
      </c>
      <c r="AO141" s="13">
        <v>1</v>
      </c>
      <c r="AP141" s="14">
        <f t="shared" si="45"/>
        <v>1.1440000000000001E-2</v>
      </c>
      <c r="AQ141" s="13"/>
      <c r="AR141" s="14"/>
      <c r="AS141" s="13"/>
      <c r="AU141" s="13">
        <v>8</v>
      </c>
      <c r="AV141" s="13">
        <v>13</v>
      </c>
      <c r="AW141" s="13">
        <v>400</v>
      </c>
      <c r="AX141" s="13">
        <v>2</v>
      </c>
      <c r="AY141" s="14">
        <f t="shared" si="52"/>
        <v>8.3199999999999996E-2</v>
      </c>
      <c r="AZ141" s="13"/>
      <c r="BA141" s="14"/>
      <c r="BB141" s="13"/>
      <c r="BD141" s="226" t="s">
        <v>13</v>
      </c>
      <c r="BE141" s="227"/>
      <c r="BF141" s="228"/>
      <c r="BG141" s="227" t="s">
        <v>12</v>
      </c>
      <c r="BH141" s="228"/>
      <c r="BI141" s="227" t="s">
        <v>12</v>
      </c>
      <c r="BJ141" s="228"/>
      <c r="BK141" s="229" t="s">
        <v>11</v>
      </c>
      <c r="BV141" s="13">
        <v>7</v>
      </c>
      <c r="BW141" s="13">
        <v>20</v>
      </c>
      <c r="BX141" s="13">
        <v>400</v>
      </c>
      <c r="BY141" s="13">
        <v>1</v>
      </c>
      <c r="BZ141" s="14">
        <f t="shared" si="53"/>
        <v>5.6000000000000001E-2</v>
      </c>
      <c r="CA141" s="13"/>
      <c r="CB141" s="14"/>
      <c r="CC141" s="41"/>
      <c r="CE141" s="57">
        <v>3</v>
      </c>
      <c r="CF141" s="57">
        <v>5</v>
      </c>
      <c r="CG141" s="57">
        <v>400</v>
      </c>
      <c r="CH141" s="57">
        <v>50</v>
      </c>
      <c r="CI141" s="56">
        <f t="shared" si="46"/>
        <v>0.3</v>
      </c>
      <c r="CJ141" s="57"/>
      <c r="CK141" s="56"/>
      <c r="CL141" s="140"/>
      <c r="CN141" s="13">
        <v>4.5</v>
      </c>
      <c r="CO141" s="13">
        <v>13</v>
      </c>
      <c r="CP141" s="13">
        <v>400</v>
      </c>
      <c r="CQ141" s="13">
        <v>1</v>
      </c>
      <c r="CR141" s="14">
        <f t="shared" si="42"/>
        <v>2.3400000000000001E-2</v>
      </c>
      <c r="CS141" s="13"/>
      <c r="CT141" s="14"/>
      <c r="CU141" s="13"/>
      <c r="CW141" s="13">
        <v>2.2000000000000002</v>
      </c>
      <c r="CX141" s="13">
        <v>10</v>
      </c>
      <c r="CY141" s="13">
        <v>400</v>
      </c>
      <c r="CZ141" s="13">
        <v>10</v>
      </c>
      <c r="DA141" s="14">
        <f t="shared" si="43"/>
        <v>8.7999999999999995E-2</v>
      </c>
      <c r="DB141" s="13">
        <f>SUM(CZ107:CZ141)</f>
        <v>167</v>
      </c>
      <c r="DC141" s="95">
        <f>SUM(DA107:DA141)</f>
        <v>7.7534000000000018</v>
      </c>
      <c r="DD141" s="41"/>
      <c r="DF141" s="13">
        <v>3.5</v>
      </c>
      <c r="DG141" s="13">
        <v>15</v>
      </c>
      <c r="DH141" s="13">
        <v>400</v>
      </c>
      <c r="DI141" s="13">
        <v>2</v>
      </c>
      <c r="DJ141" s="14">
        <f t="shared" si="47"/>
        <v>4.2000000000000003E-2</v>
      </c>
      <c r="DK141" s="13"/>
      <c r="DL141" s="14"/>
      <c r="DM141" s="41"/>
    </row>
    <row r="142" spans="2:117" ht="15.75" x14ac:dyDescent="0.25">
      <c r="B142" s="13">
        <v>2.2000000000000002</v>
      </c>
      <c r="C142" s="13">
        <v>10</v>
      </c>
      <c r="D142" s="13">
        <v>400</v>
      </c>
      <c r="E142" s="13">
        <v>11</v>
      </c>
      <c r="F142" s="20">
        <f t="shared" si="48"/>
        <v>9.6799999999999997E-2</v>
      </c>
      <c r="G142" s="13">
        <f>SUM(E140:E142)</f>
        <v>14</v>
      </c>
      <c r="H142" s="14">
        <f>SUM(F140:F142)</f>
        <v>0.15664</v>
      </c>
      <c r="I142" s="13"/>
      <c r="K142" s="13">
        <v>10</v>
      </c>
      <c r="L142" s="13">
        <v>10</v>
      </c>
      <c r="M142" s="13">
        <v>400</v>
      </c>
      <c r="N142" s="13">
        <v>7</v>
      </c>
      <c r="O142" s="14">
        <f t="shared" si="50"/>
        <v>0.28000000000000003</v>
      </c>
      <c r="P142" s="13">
        <f>SUM(N132:N142)</f>
        <v>41</v>
      </c>
      <c r="Q142" s="14">
        <f>SUM(O132:O142)</f>
        <v>2.6909999999999998</v>
      </c>
      <c r="R142" s="13"/>
      <c r="T142" s="13">
        <v>2.2000000000000002</v>
      </c>
      <c r="U142" s="13">
        <v>10</v>
      </c>
      <c r="V142" s="13">
        <v>400</v>
      </c>
      <c r="W142" s="13">
        <v>29</v>
      </c>
      <c r="X142" s="14">
        <f t="shared" si="44"/>
        <v>0.25519999999999998</v>
      </c>
      <c r="Y142" s="13">
        <f>SUM(W138:W142)</f>
        <v>64</v>
      </c>
      <c r="Z142" s="14">
        <f>SUM(X138:X142)</f>
        <v>0.72072000000000003</v>
      </c>
      <c r="AA142" s="13"/>
      <c r="AC142" s="13">
        <v>7</v>
      </c>
      <c r="AD142" s="13">
        <v>18</v>
      </c>
      <c r="AE142" s="13">
        <v>400</v>
      </c>
      <c r="AF142" s="13">
        <v>2</v>
      </c>
      <c r="AG142" s="14">
        <f t="shared" si="49"/>
        <v>0.1008</v>
      </c>
      <c r="AH142" s="13"/>
      <c r="AI142" s="14"/>
      <c r="AJ142" s="13"/>
      <c r="AL142" s="13">
        <v>13</v>
      </c>
      <c r="AM142" s="13">
        <v>30</v>
      </c>
      <c r="AN142" s="13">
        <v>400</v>
      </c>
      <c r="AO142" s="13">
        <v>3</v>
      </c>
      <c r="AP142" s="14">
        <f t="shared" si="45"/>
        <v>0.46800000000000003</v>
      </c>
      <c r="AQ142" s="13"/>
      <c r="AR142" s="14"/>
      <c r="AS142" s="13"/>
      <c r="AU142" s="13">
        <v>5</v>
      </c>
      <c r="AV142" s="13">
        <v>10</v>
      </c>
      <c r="AW142" s="13">
        <v>400</v>
      </c>
      <c r="AX142" s="13">
        <v>31</v>
      </c>
      <c r="AY142" s="14">
        <f t="shared" si="52"/>
        <v>0.62</v>
      </c>
      <c r="AZ142" s="13"/>
      <c r="BA142" s="14"/>
      <c r="BB142" s="13"/>
      <c r="BD142" s="24" t="s">
        <v>10</v>
      </c>
      <c r="BE142" s="23" t="s">
        <v>9</v>
      </c>
      <c r="BF142" s="23" t="s">
        <v>8</v>
      </c>
      <c r="BG142" s="22" t="s">
        <v>7</v>
      </c>
      <c r="BH142" s="21" t="s">
        <v>6</v>
      </c>
      <c r="BI142" s="22" t="s">
        <v>7</v>
      </c>
      <c r="BJ142" s="21" t="s">
        <v>6</v>
      </c>
      <c r="BK142" s="230"/>
      <c r="BM142" s="231" t="s">
        <v>19</v>
      </c>
      <c r="BN142" s="231"/>
      <c r="BO142" s="231"/>
      <c r="BP142" s="231"/>
      <c r="BQ142" s="231"/>
      <c r="BR142" s="231"/>
      <c r="BS142" s="231"/>
      <c r="BT142" s="231"/>
      <c r="BV142" s="13">
        <v>3</v>
      </c>
      <c r="BW142" s="13">
        <v>15</v>
      </c>
      <c r="BX142" s="13">
        <v>400</v>
      </c>
      <c r="BY142" s="13">
        <v>2</v>
      </c>
      <c r="BZ142" s="14">
        <f t="shared" si="53"/>
        <v>3.5999999999999997E-2</v>
      </c>
      <c r="CA142" s="13"/>
      <c r="CB142" s="14"/>
      <c r="CC142" s="13"/>
      <c r="CE142" s="57">
        <v>2</v>
      </c>
      <c r="CF142" s="57">
        <v>3</v>
      </c>
      <c r="CG142" s="57">
        <v>400</v>
      </c>
      <c r="CH142" s="57">
        <v>150</v>
      </c>
      <c r="CI142" s="56">
        <f t="shared" si="46"/>
        <v>0.36</v>
      </c>
      <c r="CJ142" s="159">
        <f>SUM(CH117:CH142)</f>
        <v>323</v>
      </c>
      <c r="CK142" s="178">
        <f>SUM(CI117:CI142)</f>
        <v>4.3128000000000002</v>
      </c>
      <c r="CL142" s="140" t="s">
        <v>21</v>
      </c>
      <c r="CN142" s="13">
        <v>10</v>
      </c>
      <c r="CO142" s="13">
        <v>10</v>
      </c>
      <c r="CP142" s="13">
        <v>400</v>
      </c>
      <c r="CQ142" s="13">
        <v>3</v>
      </c>
      <c r="CR142" s="14">
        <f t="shared" si="42"/>
        <v>0.12</v>
      </c>
      <c r="CS142" s="13"/>
      <c r="CT142" s="14"/>
      <c r="CU142" s="13"/>
      <c r="CW142" s="122">
        <v>5</v>
      </c>
      <c r="CX142" s="122">
        <v>7</v>
      </c>
      <c r="CY142" s="122">
        <v>400</v>
      </c>
      <c r="CZ142" s="122">
        <v>104</v>
      </c>
      <c r="DA142" s="123">
        <f t="shared" si="43"/>
        <v>1.456</v>
      </c>
      <c r="DB142" s="122"/>
      <c r="DC142" s="123"/>
      <c r="DD142" s="126"/>
      <c r="DF142" s="13">
        <v>4.5</v>
      </c>
      <c r="DG142" s="13">
        <v>13</v>
      </c>
      <c r="DH142" s="13">
        <v>400</v>
      </c>
      <c r="DI142" s="13">
        <v>9</v>
      </c>
      <c r="DJ142" s="14">
        <f t="shared" si="47"/>
        <v>0.21060000000000001</v>
      </c>
      <c r="DK142" s="37"/>
      <c r="DL142" s="36"/>
      <c r="DM142" s="41"/>
    </row>
    <row r="143" spans="2:117" ht="15.75" x14ac:dyDescent="0.25">
      <c r="B143" s="13">
        <v>1.7</v>
      </c>
      <c r="C143" s="13">
        <v>25</v>
      </c>
      <c r="D143" s="13">
        <v>400</v>
      </c>
      <c r="E143" s="13">
        <v>1</v>
      </c>
      <c r="F143" s="20">
        <f t="shared" si="48"/>
        <v>1.7000000000000001E-2</v>
      </c>
      <c r="G143" s="13"/>
      <c r="H143" s="14"/>
      <c r="I143" s="13"/>
      <c r="K143" s="13">
        <v>8</v>
      </c>
      <c r="L143" s="13">
        <v>18</v>
      </c>
      <c r="M143" s="13">
        <v>400</v>
      </c>
      <c r="N143" s="13">
        <v>3</v>
      </c>
      <c r="O143" s="14">
        <f t="shared" si="50"/>
        <v>0.17280000000000001</v>
      </c>
      <c r="P143" s="13"/>
      <c r="Q143" s="14"/>
      <c r="R143" s="13"/>
      <c r="T143" s="13">
        <v>1.7</v>
      </c>
      <c r="U143" s="13">
        <v>20</v>
      </c>
      <c r="V143" s="13">
        <v>400</v>
      </c>
      <c r="W143" s="13">
        <v>1</v>
      </c>
      <c r="X143" s="14">
        <f t="shared" si="44"/>
        <v>1.3599999999999999E-2</v>
      </c>
      <c r="Y143" s="13"/>
      <c r="Z143" s="14"/>
      <c r="AA143" s="13"/>
      <c r="AC143" s="13">
        <v>7</v>
      </c>
      <c r="AD143" s="13">
        <v>15</v>
      </c>
      <c r="AE143" s="13">
        <v>400</v>
      </c>
      <c r="AF143" s="13">
        <v>2</v>
      </c>
      <c r="AG143" s="14">
        <f t="shared" si="49"/>
        <v>8.4000000000000005E-2</v>
      </c>
      <c r="AH143" s="13"/>
      <c r="AI143" s="14"/>
      <c r="AJ143" s="13"/>
      <c r="AL143" s="13">
        <v>15</v>
      </c>
      <c r="AM143" s="13">
        <v>30</v>
      </c>
      <c r="AN143" s="13">
        <v>400</v>
      </c>
      <c r="AO143" s="13">
        <v>1</v>
      </c>
      <c r="AP143" s="14">
        <f t="shared" ref="AP143:AP168" si="54">AL143*AM143*AN143*AO143/1000000</f>
        <v>0.18</v>
      </c>
      <c r="AQ143" s="13"/>
      <c r="AR143" s="14"/>
      <c r="AS143" s="13"/>
      <c r="AU143" s="13">
        <v>7</v>
      </c>
      <c r="AV143" s="13">
        <v>10</v>
      </c>
      <c r="AW143" s="13">
        <v>400</v>
      </c>
      <c r="AX143" s="13">
        <v>3</v>
      </c>
      <c r="AY143" s="14">
        <f t="shared" si="52"/>
        <v>8.4000000000000005E-2</v>
      </c>
      <c r="AZ143" s="13"/>
      <c r="BA143" s="14"/>
      <c r="BB143" s="13"/>
      <c r="BD143" s="13">
        <v>7</v>
      </c>
      <c r="BE143" s="13">
        <v>30</v>
      </c>
      <c r="BF143" s="13">
        <v>400</v>
      </c>
      <c r="BG143" s="13">
        <v>1</v>
      </c>
      <c r="BH143" s="14">
        <f t="shared" ref="BH143:BH181" si="55">BD143*BE143*BF143*BG143/1000000</f>
        <v>8.4000000000000005E-2</v>
      </c>
      <c r="BI143" s="13"/>
      <c r="BJ143" s="14"/>
      <c r="BK143" s="13"/>
      <c r="BM143" s="231"/>
      <c r="BN143" s="231"/>
      <c r="BO143" s="231"/>
      <c r="BP143" s="231"/>
      <c r="BQ143" s="231"/>
      <c r="BR143" s="231"/>
      <c r="BS143" s="231"/>
      <c r="BT143" s="231"/>
      <c r="BV143" s="13">
        <v>2</v>
      </c>
      <c r="BW143" s="13">
        <v>15</v>
      </c>
      <c r="BX143" s="13">
        <v>400</v>
      </c>
      <c r="BY143" s="13">
        <v>3</v>
      </c>
      <c r="BZ143" s="14">
        <f t="shared" si="53"/>
        <v>3.5999999999999997E-2</v>
      </c>
      <c r="CA143" s="13"/>
      <c r="CB143" s="14"/>
      <c r="CC143" s="13"/>
      <c r="CE143" s="13">
        <v>15</v>
      </c>
      <c r="CF143" s="13">
        <v>30</v>
      </c>
      <c r="CG143" s="13">
        <v>400</v>
      </c>
      <c r="CH143" s="13">
        <v>9</v>
      </c>
      <c r="CI143" s="14">
        <f t="shared" ref="CI143:CI167" si="56">CE143*CF143*CG143*CH143/1000000</f>
        <v>1.62</v>
      </c>
      <c r="CJ143" s="13"/>
      <c r="CK143" s="14"/>
      <c r="CL143" s="13"/>
      <c r="CN143" s="13">
        <v>7</v>
      </c>
      <c r="CO143" s="13">
        <v>10</v>
      </c>
      <c r="CP143" s="13">
        <v>400</v>
      </c>
      <c r="CQ143" s="13">
        <v>2</v>
      </c>
      <c r="CR143" s="14">
        <f t="shared" si="42"/>
        <v>5.6000000000000001E-2</v>
      </c>
      <c r="CS143" s="13"/>
      <c r="CT143" s="14"/>
      <c r="CU143" s="13"/>
      <c r="CW143" s="122">
        <v>4</v>
      </c>
      <c r="CX143" s="122">
        <v>6</v>
      </c>
      <c r="CY143" s="122">
        <v>400</v>
      </c>
      <c r="CZ143" s="122">
        <v>78</v>
      </c>
      <c r="DA143" s="123">
        <f t="shared" si="43"/>
        <v>0.74880000000000002</v>
      </c>
      <c r="DB143" s="122"/>
      <c r="DC143" s="123"/>
      <c r="DD143" s="126"/>
      <c r="DF143" s="13">
        <v>2.2000000000000002</v>
      </c>
      <c r="DG143" s="13">
        <v>13</v>
      </c>
      <c r="DH143" s="13">
        <v>400</v>
      </c>
      <c r="DI143" s="13">
        <v>5</v>
      </c>
      <c r="DJ143" s="14">
        <f t="shared" si="47"/>
        <v>5.7200000000000001E-2</v>
      </c>
      <c r="DK143" s="13"/>
      <c r="DL143" s="14"/>
      <c r="DM143" s="13"/>
    </row>
    <row r="144" spans="2:117" ht="15.75" x14ac:dyDescent="0.25">
      <c r="B144" s="13">
        <v>1.7</v>
      </c>
      <c r="C144" s="13">
        <v>10</v>
      </c>
      <c r="D144" s="13">
        <v>400</v>
      </c>
      <c r="E144" s="13">
        <v>3</v>
      </c>
      <c r="F144" s="20">
        <f t="shared" si="48"/>
        <v>2.0400000000000001E-2</v>
      </c>
      <c r="G144" s="13">
        <f>SUM(E143:E144)</f>
        <v>4</v>
      </c>
      <c r="H144" s="14">
        <f>SUM(F143:F144)</f>
        <v>3.7400000000000003E-2</v>
      </c>
      <c r="I144" s="13"/>
      <c r="K144" s="13">
        <v>8</v>
      </c>
      <c r="L144" s="13">
        <v>15</v>
      </c>
      <c r="M144" s="13">
        <v>400</v>
      </c>
      <c r="N144" s="13">
        <v>7</v>
      </c>
      <c r="O144" s="14">
        <f t="shared" si="50"/>
        <v>0.33600000000000002</v>
      </c>
      <c r="P144" s="13"/>
      <c r="Q144" s="14"/>
      <c r="R144" s="13"/>
      <c r="T144" s="13">
        <v>1.7</v>
      </c>
      <c r="U144" s="13">
        <v>15</v>
      </c>
      <c r="V144" s="13">
        <v>400</v>
      </c>
      <c r="W144" s="13">
        <v>2</v>
      </c>
      <c r="X144" s="14">
        <f t="shared" si="44"/>
        <v>2.0400000000000001E-2</v>
      </c>
      <c r="Y144" s="13"/>
      <c r="Z144" s="14"/>
      <c r="AA144" s="13"/>
      <c r="AC144" s="13">
        <v>7</v>
      </c>
      <c r="AD144" s="13">
        <v>13</v>
      </c>
      <c r="AE144" s="13">
        <v>400</v>
      </c>
      <c r="AF144" s="13">
        <v>3</v>
      </c>
      <c r="AG144" s="14">
        <f t="shared" si="49"/>
        <v>0.10920000000000001</v>
      </c>
      <c r="AH144" s="13"/>
      <c r="AI144" s="14"/>
      <c r="AJ144" s="13"/>
      <c r="AL144" s="13">
        <v>10</v>
      </c>
      <c r="AM144" s="13">
        <v>10</v>
      </c>
      <c r="AN144" s="13">
        <v>400</v>
      </c>
      <c r="AO144" s="13">
        <v>3</v>
      </c>
      <c r="AP144" s="14">
        <f t="shared" si="54"/>
        <v>0.12</v>
      </c>
      <c r="AQ144" s="13"/>
      <c r="AR144" s="14"/>
      <c r="AS144" s="13"/>
      <c r="AU144" s="13">
        <v>4</v>
      </c>
      <c r="AV144" s="13">
        <v>10</v>
      </c>
      <c r="AW144" s="13">
        <v>400</v>
      </c>
      <c r="AX144" s="13">
        <v>5</v>
      </c>
      <c r="AY144" s="14">
        <f t="shared" si="52"/>
        <v>0.08</v>
      </c>
      <c r="AZ144" s="13"/>
      <c r="BA144" s="14"/>
      <c r="BB144" s="13"/>
      <c r="BD144" s="13">
        <v>13</v>
      </c>
      <c r="BE144" s="13">
        <v>30</v>
      </c>
      <c r="BF144" s="13">
        <v>400</v>
      </c>
      <c r="BG144" s="13">
        <v>1</v>
      </c>
      <c r="BH144" s="14">
        <f t="shared" si="55"/>
        <v>0.156</v>
      </c>
      <c r="BI144" s="13"/>
      <c r="BJ144" s="14"/>
      <c r="BK144" s="13"/>
      <c r="BM144" s="28" t="s">
        <v>18</v>
      </c>
      <c r="BN144" s="27" t="s">
        <v>74</v>
      </c>
      <c r="BO144" s="26"/>
      <c r="BP144" s="26"/>
      <c r="BQ144" s="26"/>
      <c r="BR144" s="26"/>
      <c r="BS144" s="26"/>
      <c r="BT144" s="26"/>
      <c r="BV144" s="57">
        <v>2</v>
      </c>
      <c r="BW144" s="57">
        <v>3</v>
      </c>
      <c r="BX144" s="57">
        <v>400</v>
      </c>
      <c r="BY144" s="57">
        <v>25</v>
      </c>
      <c r="BZ144" s="56">
        <f t="shared" si="53"/>
        <v>0.06</v>
      </c>
      <c r="CA144" s="57"/>
      <c r="CB144" s="56"/>
      <c r="CC144" s="57"/>
      <c r="CE144" s="13">
        <v>4.5</v>
      </c>
      <c r="CF144" s="13">
        <v>25</v>
      </c>
      <c r="CG144" s="13">
        <v>400</v>
      </c>
      <c r="CH144" s="13">
        <v>4</v>
      </c>
      <c r="CI144" s="14">
        <f t="shared" si="56"/>
        <v>0.18</v>
      </c>
      <c r="CJ144" s="13"/>
      <c r="CK144" s="14"/>
      <c r="CL144" s="13"/>
      <c r="CN144" s="13">
        <v>4.5</v>
      </c>
      <c r="CO144" s="13">
        <v>10</v>
      </c>
      <c r="CP144" s="13">
        <v>400</v>
      </c>
      <c r="CQ144" s="13">
        <v>20</v>
      </c>
      <c r="CR144" s="14">
        <f t="shared" si="42"/>
        <v>0.36</v>
      </c>
      <c r="CS144" s="13"/>
      <c r="CT144" s="14"/>
      <c r="CU144" s="13"/>
      <c r="CW144" s="122">
        <v>3</v>
      </c>
      <c r="CX144" s="122">
        <v>5</v>
      </c>
      <c r="CY144" s="122">
        <v>400</v>
      </c>
      <c r="CZ144" s="122">
        <v>180</v>
      </c>
      <c r="DA144" s="123">
        <f t="shared" si="43"/>
        <v>1.08</v>
      </c>
      <c r="DB144" s="122"/>
      <c r="DC144" s="124"/>
      <c r="DD144" s="126"/>
      <c r="DF144" s="13">
        <v>3.5</v>
      </c>
      <c r="DG144" s="13">
        <v>13</v>
      </c>
      <c r="DH144" s="13">
        <v>400</v>
      </c>
      <c r="DI144" s="13">
        <v>3</v>
      </c>
      <c r="DJ144" s="14">
        <f t="shared" si="47"/>
        <v>5.4600000000000003E-2</v>
      </c>
      <c r="DK144" s="13"/>
      <c r="DL144" s="14"/>
      <c r="DM144" s="13"/>
    </row>
    <row r="145" spans="2:117" ht="16.5" thickBot="1" x14ac:dyDescent="0.3">
      <c r="E145" s="17">
        <f>SUM(E118:E144)</f>
        <v>321</v>
      </c>
      <c r="F145" s="18">
        <f>SUM(F118:F144)</f>
        <v>11.73916</v>
      </c>
      <c r="G145" s="17">
        <f>SUM(G118:G144)</f>
        <v>321</v>
      </c>
      <c r="H145" s="18">
        <f>SUM(H118:H144)</f>
        <v>11.73916</v>
      </c>
      <c r="I145" s="17"/>
      <c r="K145" s="13">
        <v>8</v>
      </c>
      <c r="L145" s="13">
        <v>13</v>
      </c>
      <c r="M145" s="13">
        <v>400</v>
      </c>
      <c r="N145" s="13">
        <v>4</v>
      </c>
      <c r="O145" s="14">
        <f t="shared" si="50"/>
        <v>0.16639999999999999</v>
      </c>
      <c r="P145" s="13"/>
      <c r="Q145" s="14"/>
      <c r="R145" s="13"/>
      <c r="T145" s="13">
        <v>1.7</v>
      </c>
      <c r="U145" s="13">
        <v>10</v>
      </c>
      <c r="V145" s="13">
        <v>400</v>
      </c>
      <c r="W145" s="13">
        <v>6</v>
      </c>
      <c r="X145" s="14">
        <f t="shared" si="44"/>
        <v>4.0800000000000003E-2</v>
      </c>
      <c r="Y145" s="13">
        <f>SUM(W143:W145)</f>
        <v>9</v>
      </c>
      <c r="Z145" s="14">
        <f>SUM(X143:X145)</f>
        <v>7.4800000000000005E-2</v>
      </c>
      <c r="AA145" s="13"/>
      <c r="AC145" s="13">
        <v>7</v>
      </c>
      <c r="AD145" s="13">
        <v>10</v>
      </c>
      <c r="AE145" s="13">
        <v>400</v>
      </c>
      <c r="AF145" s="13">
        <v>5</v>
      </c>
      <c r="AG145" s="14">
        <f t="shared" si="49"/>
        <v>0.14000000000000001</v>
      </c>
      <c r="AH145" s="13">
        <f>SUM(AF139:AF145)</f>
        <v>22</v>
      </c>
      <c r="AI145" s="14">
        <f>SUM(AG139:AG145)</f>
        <v>1.0415999999999999</v>
      </c>
      <c r="AJ145" s="13"/>
      <c r="AL145" s="13">
        <v>7</v>
      </c>
      <c r="AM145" s="13">
        <v>10</v>
      </c>
      <c r="AN145" s="13">
        <v>400</v>
      </c>
      <c r="AO145" s="13">
        <v>4</v>
      </c>
      <c r="AP145" s="14">
        <f t="shared" si="54"/>
        <v>0.112</v>
      </c>
      <c r="AQ145" s="13"/>
      <c r="AR145" s="14"/>
      <c r="AS145" s="13"/>
      <c r="AU145" s="13">
        <v>2.2000000000000002</v>
      </c>
      <c r="AV145" s="13">
        <v>10</v>
      </c>
      <c r="AW145" s="13">
        <v>400</v>
      </c>
      <c r="AX145" s="13">
        <v>24</v>
      </c>
      <c r="AY145" s="14">
        <f t="shared" si="52"/>
        <v>0.2112</v>
      </c>
      <c r="AZ145" s="13"/>
      <c r="BA145" s="14"/>
      <c r="BB145" s="13"/>
      <c r="BD145" s="13">
        <v>2.2000000000000002</v>
      </c>
      <c r="BE145" s="13">
        <v>30</v>
      </c>
      <c r="BF145" s="13">
        <v>400</v>
      </c>
      <c r="BG145" s="13">
        <v>1</v>
      </c>
      <c r="BH145" s="14">
        <f t="shared" si="55"/>
        <v>2.64E-2</v>
      </c>
      <c r="BI145" s="13"/>
      <c r="BJ145" s="14"/>
      <c r="BK145" s="13"/>
      <c r="BM145" s="28" t="s">
        <v>16</v>
      </c>
      <c r="BN145" s="27" t="s">
        <v>93</v>
      </c>
      <c r="BO145" s="26"/>
      <c r="BP145" s="26"/>
      <c r="BQ145" s="26"/>
      <c r="BR145" s="26"/>
      <c r="BS145" s="26"/>
      <c r="BT145" s="26"/>
      <c r="BV145" s="57">
        <v>4</v>
      </c>
      <c r="BW145" s="57">
        <v>6</v>
      </c>
      <c r="BX145" s="57">
        <v>400</v>
      </c>
      <c r="BY145" s="57">
        <v>6</v>
      </c>
      <c r="BZ145" s="56">
        <f t="shared" si="53"/>
        <v>5.7599999999999998E-2</v>
      </c>
      <c r="CA145" s="57"/>
      <c r="CB145" s="56"/>
      <c r="CC145" s="140"/>
      <c r="CE145" s="13">
        <v>15</v>
      </c>
      <c r="CF145" s="13">
        <v>25</v>
      </c>
      <c r="CG145" s="13">
        <v>400</v>
      </c>
      <c r="CH145" s="13">
        <v>2</v>
      </c>
      <c r="CI145" s="14">
        <f t="shared" si="56"/>
        <v>0.3</v>
      </c>
      <c r="CJ145" s="13"/>
      <c r="CK145" s="14"/>
      <c r="CL145" s="13"/>
      <c r="CN145" s="13">
        <v>3.5</v>
      </c>
      <c r="CO145" s="13">
        <v>10</v>
      </c>
      <c r="CP145" s="13">
        <v>400</v>
      </c>
      <c r="CQ145" s="13">
        <v>3</v>
      </c>
      <c r="CR145" s="14">
        <f t="shared" si="42"/>
        <v>4.2000000000000003E-2</v>
      </c>
      <c r="CS145" s="13"/>
      <c r="CT145" s="14"/>
      <c r="CU145" s="13"/>
      <c r="CW145" s="122">
        <v>2</v>
      </c>
      <c r="CX145" s="122">
        <v>3</v>
      </c>
      <c r="CY145" s="122">
        <v>400</v>
      </c>
      <c r="CZ145" s="122">
        <v>350</v>
      </c>
      <c r="DA145" s="123">
        <f t="shared" si="43"/>
        <v>0.84</v>
      </c>
      <c r="DB145" s="122">
        <f>SUM(CZ142:CZ145)</f>
        <v>712</v>
      </c>
      <c r="DC145" s="125">
        <f>SUM(DA142:DA145)</f>
        <v>4.1248000000000005</v>
      </c>
      <c r="DD145" s="126" t="s">
        <v>23</v>
      </c>
      <c r="DF145" s="13">
        <v>10</v>
      </c>
      <c r="DG145" s="13">
        <v>13</v>
      </c>
      <c r="DH145" s="13">
        <v>400</v>
      </c>
      <c r="DI145" s="13">
        <v>1</v>
      </c>
      <c r="DJ145" s="14">
        <f t="shared" si="47"/>
        <v>5.1999999999999998E-2</v>
      </c>
      <c r="DK145" s="13"/>
      <c r="DL145" s="14"/>
      <c r="DM145" s="13"/>
    </row>
    <row r="146" spans="2:117" ht="17.25" thickTop="1" thickBot="1" x14ac:dyDescent="0.3">
      <c r="K146" s="13">
        <v>8</v>
      </c>
      <c r="L146" s="13">
        <v>10</v>
      </c>
      <c r="M146" s="13">
        <v>400</v>
      </c>
      <c r="N146" s="13">
        <v>14</v>
      </c>
      <c r="O146" s="14">
        <f t="shared" si="50"/>
        <v>0.44800000000000001</v>
      </c>
      <c r="P146" s="13">
        <f>SUM(N143:N146)</f>
        <v>28</v>
      </c>
      <c r="Q146" s="14">
        <f>SUM(O143:O146)</f>
        <v>1.1232</v>
      </c>
      <c r="R146" s="13"/>
      <c r="T146" s="241"/>
      <c r="U146" s="241"/>
      <c r="V146" s="242"/>
      <c r="W146" s="12">
        <f>SUM(W110:W145)</f>
        <v>608</v>
      </c>
      <c r="X146" s="11">
        <f>SUM(X110:X145)</f>
        <v>12.168120000000002</v>
      </c>
      <c r="Y146" s="9">
        <f>SUM(Y110:Y145)</f>
        <v>608</v>
      </c>
      <c r="Z146" s="10">
        <f>SUM(Z110:Z145)</f>
        <v>12.16812</v>
      </c>
      <c r="AA146" s="9"/>
      <c r="AC146" s="13">
        <v>4.5</v>
      </c>
      <c r="AD146" s="13">
        <v>30</v>
      </c>
      <c r="AE146" s="13">
        <v>400</v>
      </c>
      <c r="AF146" s="13">
        <v>1</v>
      </c>
      <c r="AG146" s="14">
        <f t="shared" si="49"/>
        <v>5.3999999999999999E-2</v>
      </c>
      <c r="AH146" s="13"/>
      <c r="AI146" s="14"/>
      <c r="AJ146" s="13"/>
      <c r="AL146" s="13">
        <v>4.5</v>
      </c>
      <c r="AM146" s="13">
        <v>10</v>
      </c>
      <c r="AN146" s="13">
        <v>400</v>
      </c>
      <c r="AO146" s="13">
        <v>97</v>
      </c>
      <c r="AP146" s="14">
        <f t="shared" si="54"/>
        <v>1.746</v>
      </c>
      <c r="AQ146" s="13"/>
      <c r="AR146" s="14"/>
      <c r="AS146" s="13"/>
      <c r="AU146" s="13">
        <v>1.7</v>
      </c>
      <c r="AV146" s="13">
        <v>10</v>
      </c>
      <c r="AW146" s="13">
        <v>400</v>
      </c>
      <c r="AX146" s="13">
        <v>2</v>
      </c>
      <c r="AY146" s="14">
        <f t="shared" si="52"/>
        <v>1.3599999999999999E-2</v>
      </c>
      <c r="AZ146" s="13"/>
      <c r="BA146" s="14"/>
      <c r="BB146" s="13"/>
      <c r="BD146" s="13">
        <v>8</v>
      </c>
      <c r="BE146" s="13">
        <v>30</v>
      </c>
      <c r="BF146" s="13">
        <v>400</v>
      </c>
      <c r="BG146" s="13">
        <v>2</v>
      </c>
      <c r="BH146" s="14">
        <f t="shared" si="55"/>
        <v>0.192</v>
      </c>
      <c r="BI146" s="13"/>
      <c r="BJ146" s="14"/>
      <c r="BK146" s="13"/>
      <c r="BM146" s="43"/>
      <c r="BN146" s="25"/>
      <c r="BO146" s="25"/>
      <c r="BP146" s="25"/>
      <c r="BQ146" s="25"/>
      <c r="BR146" s="225" t="s">
        <v>122</v>
      </c>
      <c r="BS146" s="225"/>
      <c r="BT146" s="225"/>
      <c r="BV146" s="57">
        <v>3</v>
      </c>
      <c r="BW146" s="57">
        <v>5</v>
      </c>
      <c r="BX146" s="57">
        <v>400</v>
      </c>
      <c r="BY146" s="57">
        <v>20</v>
      </c>
      <c r="BZ146" s="56">
        <f t="shared" si="53"/>
        <v>0.12</v>
      </c>
      <c r="CA146" s="57">
        <f>SUM(BY136:BY146)</f>
        <v>62</v>
      </c>
      <c r="CB146" s="56">
        <f>SUM(BZ136:BZ146)</f>
        <v>0.94520000000000004</v>
      </c>
      <c r="CC146" s="140" t="s">
        <v>21</v>
      </c>
      <c r="CE146" s="13">
        <v>4.5</v>
      </c>
      <c r="CF146" s="13">
        <v>30</v>
      </c>
      <c r="CG146" s="13">
        <v>400</v>
      </c>
      <c r="CH146" s="13">
        <v>1</v>
      </c>
      <c r="CI146" s="14">
        <f t="shared" si="56"/>
        <v>5.3999999999999999E-2</v>
      </c>
      <c r="CJ146" s="13"/>
      <c r="CK146" s="14"/>
      <c r="CL146" s="13"/>
      <c r="CN146" s="13">
        <v>2.2000000000000002</v>
      </c>
      <c r="CO146" s="13">
        <v>10</v>
      </c>
      <c r="CP146" s="13">
        <v>400</v>
      </c>
      <c r="CQ146" s="13">
        <v>8</v>
      </c>
      <c r="CR146" s="14">
        <f t="shared" si="42"/>
        <v>7.0400000000000004E-2</v>
      </c>
      <c r="CS146" s="13">
        <f>SUM(CQ126:CQ146)</f>
        <v>78</v>
      </c>
      <c r="CT146" s="14">
        <f>SUM(CR126:CR146)</f>
        <v>3.3583999999999996</v>
      </c>
      <c r="CU146" s="41" t="s">
        <v>23</v>
      </c>
      <c r="CW146" s="61">
        <v>5.5</v>
      </c>
      <c r="CX146" s="61">
        <v>10</v>
      </c>
      <c r="CY146" s="13">
        <v>400</v>
      </c>
      <c r="CZ146" s="61">
        <v>11</v>
      </c>
      <c r="DA146" s="63">
        <f t="shared" ref="DA146:DA148" si="57">CW146*CX146*CY146*CZ146/1000000</f>
        <v>0.24199999999999999</v>
      </c>
      <c r="DB146" s="61"/>
      <c r="DC146" s="63"/>
      <c r="DD146" s="70"/>
      <c r="DF146" s="13">
        <v>4.5</v>
      </c>
      <c r="DG146" s="13">
        <v>10</v>
      </c>
      <c r="DH146" s="13">
        <v>400</v>
      </c>
      <c r="DI146" s="13">
        <v>32</v>
      </c>
      <c r="DJ146" s="14">
        <f t="shared" si="47"/>
        <v>0.57599999999999996</v>
      </c>
      <c r="DK146" s="13"/>
      <c r="DL146" s="14"/>
      <c r="DM146" s="13"/>
    </row>
    <row r="147" spans="2:117" ht="16.5" thickTop="1" x14ac:dyDescent="0.25">
      <c r="B147" s="231" t="s">
        <v>19</v>
      </c>
      <c r="C147" s="231"/>
      <c r="D147" s="231"/>
      <c r="E147" s="231"/>
      <c r="F147" s="231"/>
      <c r="G147" s="231"/>
      <c r="H147" s="231"/>
      <c r="I147" s="231"/>
      <c r="K147" s="13">
        <v>4.5</v>
      </c>
      <c r="L147" s="13">
        <v>25</v>
      </c>
      <c r="M147" s="13">
        <v>400</v>
      </c>
      <c r="N147" s="13">
        <v>1</v>
      </c>
      <c r="O147" s="14">
        <f t="shared" si="50"/>
        <v>4.4999999999999998E-2</v>
      </c>
      <c r="P147" s="13"/>
      <c r="Q147" s="14"/>
      <c r="R147" s="13"/>
      <c r="AC147" s="13">
        <v>4.5</v>
      </c>
      <c r="AD147" s="13">
        <v>25</v>
      </c>
      <c r="AE147" s="13">
        <v>400</v>
      </c>
      <c r="AF147" s="13">
        <v>2</v>
      </c>
      <c r="AG147" s="14">
        <f t="shared" si="49"/>
        <v>0.09</v>
      </c>
      <c r="AH147" s="13"/>
      <c r="AI147" s="14"/>
      <c r="AJ147" s="13"/>
      <c r="AL147" s="13">
        <v>3.5</v>
      </c>
      <c r="AM147" s="13">
        <v>10</v>
      </c>
      <c r="AN147" s="13">
        <v>400</v>
      </c>
      <c r="AO147" s="13">
        <v>41</v>
      </c>
      <c r="AP147" s="14">
        <f t="shared" si="54"/>
        <v>0.57399999999999995</v>
      </c>
      <c r="AQ147" s="13"/>
      <c r="AR147" s="14"/>
      <c r="AS147" s="13"/>
      <c r="AU147" s="13">
        <v>10</v>
      </c>
      <c r="AV147" s="13">
        <v>10</v>
      </c>
      <c r="AW147" s="13">
        <v>400</v>
      </c>
      <c r="AX147" s="13">
        <v>3</v>
      </c>
      <c r="AY147" s="14">
        <f t="shared" si="52"/>
        <v>0.12</v>
      </c>
      <c r="AZ147" s="13"/>
      <c r="BA147" s="14"/>
      <c r="BB147" s="13"/>
      <c r="BD147" s="13">
        <v>15</v>
      </c>
      <c r="BE147" s="13">
        <v>30</v>
      </c>
      <c r="BF147" s="13">
        <v>400</v>
      </c>
      <c r="BG147" s="13">
        <v>1</v>
      </c>
      <c r="BH147" s="14">
        <f t="shared" si="55"/>
        <v>0.18</v>
      </c>
      <c r="BI147" s="13"/>
      <c r="BJ147" s="14"/>
      <c r="BK147" s="13"/>
      <c r="BM147" s="226" t="s">
        <v>13</v>
      </c>
      <c r="BN147" s="227"/>
      <c r="BO147" s="228"/>
      <c r="BP147" s="227" t="s">
        <v>12</v>
      </c>
      <c r="BQ147" s="228"/>
      <c r="BR147" s="227" t="s">
        <v>12</v>
      </c>
      <c r="BS147" s="228"/>
      <c r="BT147" s="229" t="s">
        <v>11</v>
      </c>
      <c r="BV147" s="13">
        <v>15</v>
      </c>
      <c r="BW147" s="13">
        <v>30</v>
      </c>
      <c r="BX147" s="13">
        <v>400</v>
      </c>
      <c r="BY147" s="13">
        <v>8</v>
      </c>
      <c r="BZ147" s="14">
        <f t="shared" si="53"/>
        <v>1.44</v>
      </c>
      <c r="CA147" s="13"/>
      <c r="CB147" s="14"/>
      <c r="CC147" s="41"/>
      <c r="CE147" s="13">
        <v>13</v>
      </c>
      <c r="CF147" s="13">
        <v>30</v>
      </c>
      <c r="CG147" s="13">
        <v>400</v>
      </c>
      <c r="CH147" s="13">
        <v>1</v>
      </c>
      <c r="CI147" s="14">
        <f t="shared" si="56"/>
        <v>0.156</v>
      </c>
      <c r="CJ147" s="13"/>
      <c r="CK147" s="14"/>
      <c r="CL147" s="13"/>
      <c r="CN147" s="122">
        <v>5</v>
      </c>
      <c r="CO147" s="122">
        <v>7</v>
      </c>
      <c r="CP147" s="122">
        <v>400</v>
      </c>
      <c r="CQ147" s="122">
        <v>52</v>
      </c>
      <c r="CR147" s="123">
        <f t="shared" si="42"/>
        <v>0.72799999999999998</v>
      </c>
      <c r="CS147" s="122"/>
      <c r="CT147" s="123"/>
      <c r="CU147" s="122"/>
      <c r="CW147" s="61">
        <v>4.5</v>
      </c>
      <c r="CX147" s="61">
        <v>10</v>
      </c>
      <c r="CY147" s="13">
        <v>400</v>
      </c>
      <c r="CZ147" s="61">
        <v>2</v>
      </c>
      <c r="DA147" s="63">
        <f t="shared" si="57"/>
        <v>3.5999999999999997E-2</v>
      </c>
      <c r="DB147" s="61"/>
      <c r="DC147" s="63"/>
      <c r="DD147" s="70"/>
      <c r="DF147" s="61">
        <v>2.2000000000000002</v>
      </c>
      <c r="DG147" s="61">
        <v>10</v>
      </c>
      <c r="DH147" s="13">
        <v>400</v>
      </c>
      <c r="DI147" s="61">
        <v>19</v>
      </c>
      <c r="DJ147" s="63">
        <f t="shared" si="47"/>
        <v>0.16719999999999999</v>
      </c>
      <c r="DK147" s="13"/>
      <c r="DL147" s="14"/>
      <c r="DM147" s="13"/>
    </row>
    <row r="148" spans="2:117" ht="15.75" x14ac:dyDescent="0.25">
      <c r="B148" s="231"/>
      <c r="C148" s="231"/>
      <c r="D148" s="231"/>
      <c r="E148" s="231"/>
      <c r="F148" s="231"/>
      <c r="G148" s="231"/>
      <c r="H148" s="231"/>
      <c r="I148" s="231"/>
      <c r="K148" s="13">
        <v>4.5</v>
      </c>
      <c r="L148" s="13">
        <v>23</v>
      </c>
      <c r="M148" s="13">
        <v>400</v>
      </c>
      <c r="N148" s="13">
        <v>1</v>
      </c>
      <c r="O148" s="14">
        <f t="shared" si="50"/>
        <v>4.1399999999999999E-2</v>
      </c>
      <c r="P148" s="13"/>
      <c r="Q148" s="14"/>
      <c r="R148" s="13"/>
      <c r="T148" s="8" t="s">
        <v>4</v>
      </c>
      <c r="U148" s="4"/>
      <c r="V148" s="4"/>
      <c r="W148" s="4"/>
      <c r="Y148" s="8" t="s">
        <v>120</v>
      </c>
      <c r="Z148" s="4"/>
      <c r="AA148" s="4"/>
      <c r="AC148" s="13">
        <v>4.5</v>
      </c>
      <c r="AD148" s="13">
        <v>23</v>
      </c>
      <c r="AE148" s="13">
        <v>400</v>
      </c>
      <c r="AF148" s="13">
        <v>1</v>
      </c>
      <c r="AG148" s="14">
        <f t="shared" si="49"/>
        <v>4.1399999999999999E-2</v>
      </c>
      <c r="AH148" s="13"/>
      <c r="AI148" s="14"/>
      <c r="AJ148" s="13"/>
      <c r="AL148" s="13">
        <v>2.2000000000000002</v>
      </c>
      <c r="AM148" s="13">
        <v>10</v>
      </c>
      <c r="AN148" s="13">
        <v>400</v>
      </c>
      <c r="AO148" s="13">
        <v>24</v>
      </c>
      <c r="AP148" s="14">
        <f t="shared" si="54"/>
        <v>0.2112</v>
      </c>
      <c r="AQ148" s="13"/>
      <c r="AR148" s="14"/>
      <c r="AS148" s="13"/>
      <c r="AU148" s="13">
        <v>8</v>
      </c>
      <c r="AV148" s="13">
        <v>10</v>
      </c>
      <c r="AW148" s="13">
        <v>400</v>
      </c>
      <c r="AX148" s="13">
        <v>1</v>
      </c>
      <c r="AY148" s="14">
        <f t="shared" si="52"/>
        <v>3.2000000000000001E-2</v>
      </c>
      <c r="AZ148" s="13"/>
      <c r="BA148" s="14"/>
      <c r="BB148" s="13"/>
      <c r="BD148" s="13">
        <v>2.2000000000000002</v>
      </c>
      <c r="BE148" s="13">
        <v>25</v>
      </c>
      <c r="BF148" s="13">
        <v>400</v>
      </c>
      <c r="BG148" s="13">
        <v>1</v>
      </c>
      <c r="BH148" s="14">
        <f t="shared" si="55"/>
        <v>2.2000000000000002E-2</v>
      </c>
      <c r="BI148" s="13"/>
      <c r="BJ148" s="14"/>
      <c r="BK148" s="41"/>
      <c r="BM148" s="24" t="s">
        <v>10</v>
      </c>
      <c r="BN148" s="23" t="s">
        <v>9</v>
      </c>
      <c r="BO148" s="23" t="s">
        <v>8</v>
      </c>
      <c r="BP148" s="22" t="s">
        <v>7</v>
      </c>
      <c r="BQ148" s="21" t="s">
        <v>6</v>
      </c>
      <c r="BR148" s="22" t="s">
        <v>7</v>
      </c>
      <c r="BS148" s="21" t="s">
        <v>6</v>
      </c>
      <c r="BT148" s="230"/>
      <c r="BV148" s="13">
        <v>10</v>
      </c>
      <c r="BW148" s="13">
        <v>30</v>
      </c>
      <c r="BX148" s="13">
        <v>400</v>
      </c>
      <c r="BY148" s="13">
        <v>6</v>
      </c>
      <c r="BZ148" s="14">
        <f t="shared" si="53"/>
        <v>0.72</v>
      </c>
      <c r="CA148" s="13"/>
      <c r="CB148" s="14"/>
      <c r="CC148" s="41"/>
      <c r="CE148" s="13">
        <v>7</v>
      </c>
      <c r="CF148" s="13">
        <v>20</v>
      </c>
      <c r="CG148" s="13">
        <v>400</v>
      </c>
      <c r="CH148" s="13">
        <v>1</v>
      </c>
      <c r="CI148" s="14">
        <f t="shared" si="56"/>
        <v>5.6000000000000001E-2</v>
      </c>
      <c r="CJ148" s="13"/>
      <c r="CK148" s="14"/>
      <c r="CL148" s="41"/>
      <c r="CN148" s="122">
        <v>4</v>
      </c>
      <c r="CO148" s="122">
        <v>6</v>
      </c>
      <c r="CP148" s="122">
        <v>400</v>
      </c>
      <c r="CQ148" s="122">
        <v>30</v>
      </c>
      <c r="CR148" s="123">
        <f t="shared" si="42"/>
        <v>0.28799999999999998</v>
      </c>
      <c r="CS148" s="122"/>
      <c r="CT148" s="123"/>
      <c r="CU148" s="122"/>
      <c r="CW148" s="61">
        <v>2</v>
      </c>
      <c r="CX148" s="61">
        <v>10</v>
      </c>
      <c r="CY148" s="13">
        <v>400</v>
      </c>
      <c r="CZ148" s="61">
        <v>5</v>
      </c>
      <c r="DA148" s="63">
        <f t="shared" si="57"/>
        <v>0.04</v>
      </c>
      <c r="DB148" s="61">
        <f>SUM(CZ146:CZ148)</f>
        <v>18</v>
      </c>
      <c r="DC148" s="63">
        <f>SUM(DA146:DA148)</f>
        <v>0.31799999999999995</v>
      </c>
      <c r="DD148" s="70" t="s">
        <v>21</v>
      </c>
      <c r="DF148" s="13">
        <v>3.5</v>
      </c>
      <c r="DG148" s="13">
        <v>10</v>
      </c>
      <c r="DH148" s="13">
        <v>400</v>
      </c>
      <c r="DI148" s="13">
        <v>13</v>
      </c>
      <c r="DJ148" s="14">
        <f t="shared" si="47"/>
        <v>0.182</v>
      </c>
      <c r="DK148" s="13"/>
      <c r="DL148" s="14"/>
      <c r="DM148" s="13"/>
    </row>
    <row r="149" spans="2:117" ht="16.5" thickBot="1" x14ac:dyDescent="0.3">
      <c r="B149" s="28" t="s">
        <v>18</v>
      </c>
      <c r="C149" s="27" t="s">
        <v>36</v>
      </c>
      <c r="D149" s="26"/>
      <c r="E149" s="26"/>
      <c r="F149" s="26"/>
      <c r="G149" s="26"/>
      <c r="H149" s="26"/>
      <c r="I149" s="26"/>
      <c r="K149" s="13">
        <v>4.5</v>
      </c>
      <c r="L149" s="13">
        <v>20</v>
      </c>
      <c r="M149" s="13">
        <v>400</v>
      </c>
      <c r="N149" s="13">
        <v>1</v>
      </c>
      <c r="O149" s="14">
        <f t="shared" si="50"/>
        <v>3.5999999999999997E-2</v>
      </c>
      <c r="P149" s="13"/>
      <c r="Q149" s="14"/>
      <c r="R149" s="13"/>
      <c r="T149" s="4" t="s">
        <v>3</v>
      </c>
      <c r="U149" s="4"/>
      <c r="V149" s="6">
        <f>SUM(W100)</f>
        <v>1265</v>
      </c>
      <c r="W149" s="5">
        <f>SUM(X100)</f>
        <v>12.422640000000003</v>
      </c>
      <c r="X149" s="4" t="s">
        <v>0</v>
      </c>
      <c r="Y149" s="4" t="s">
        <v>118</v>
      </c>
      <c r="Z149" s="6">
        <f>SUM(W130,W97,W85,W31,)</f>
        <v>1515</v>
      </c>
      <c r="AA149" s="5">
        <f>SUM(X130,X97,X85,X31,)</f>
        <v>11.06</v>
      </c>
      <c r="AC149" s="13">
        <v>4.5</v>
      </c>
      <c r="AD149" s="13">
        <v>20</v>
      </c>
      <c r="AE149" s="13">
        <v>400</v>
      </c>
      <c r="AF149" s="13">
        <v>7</v>
      </c>
      <c r="AG149" s="14">
        <f t="shared" si="49"/>
        <v>0.252</v>
      </c>
      <c r="AH149" s="13"/>
      <c r="AI149" s="14"/>
      <c r="AJ149" s="13"/>
      <c r="AL149" s="13">
        <v>1.7</v>
      </c>
      <c r="AM149" s="13">
        <v>10</v>
      </c>
      <c r="AN149" s="13">
        <v>400</v>
      </c>
      <c r="AO149" s="13">
        <v>43</v>
      </c>
      <c r="AP149" s="14">
        <f t="shared" si="54"/>
        <v>0.29239999999999999</v>
      </c>
      <c r="AQ149" s="13"/>
      <c r="AR149" s="14"/>
      <c r="AS149" s="13"/>
      <c r="AU149" s="122">
        <v>4</v>
      </c>
      <c r="AV149" s="122">
        <v>6</v>
      </c>
      <c r="AW149" s="122">
        <v>400</v>
      </c>
      <c r="AX149" s="122">
        <v>60</v>
      </c>
      <c r="AY149" s="123">
        <f t="shared" si="52"/>
        <v>0.57599999999999996</v>
      </c>
      <c r="AZ149" s="122"/>
      <c r="BA149" s="123"/>
      <c r="BB149" s="122"/>
      <c r="BD149" s="13">
        <v>8</v>
      </c>
      <c r="BE149" s="13">
        <v>25</v>
      </c>
      <c r="BF149" s="13">
        <v>400</v>
      </c>
      <c r="BG149" s="13">
        <v>4</v>
      </c>
      <c r="BH149" s="14">
        <f t="shared" si="55"/>
        <v>0.32</v>
      </c>
      <c r="BI149" s="13"/>
      <c r="BJ149" s="14"/>
      <c r="BK149" s="13"/>
      <c r="BM149" s="13">
        <v>4</v>
      </c>
      <c r="BN149" s="13">
        <v>20</v>
      </c>
      <c r="BO149" s="13">
        <v>400</v>
      </c>
      <c r="BP149" s="13">
        <v>1</v>
      </c>
      <c r="BQ149" s="14">
        <f t="shared" ref="BQ149:BQ158" si="58">BM149*BN149*BO149*BP149/1000000</f>
        <v>3.2000000000000001E-2</v>
      </c>
      <c r="BR149" s="13"/>
      <c r="BS149" s="14"/>
      <c r="BT149" s="13"/>
      <c r="BV149" s="13">
        <v>7</v>
      </c>
      <c r="BW149" s="13">
        <v>30</v>
      </c>
      <c r="BX149" s="13">
        <v>400</v>
      </c>
      <c r="BY149" s="13">
        <v>1</v>
      </c>
      <c r="BZ149" s="14">
        <f t="shared" si="53"/>
        <v>8.4000000000000005E-2</v>
      </c>
      <c r="CA149" s="13"/>
      <c r="CB149" s="14"/>
      <c r="CC149" s="13"/>
      <c r="CE149" s="13">
        <v>10</v>
      </c>
      <c r="CF149" s="13">
        <v>20</v>
      </c>
      <c r="CG149" s="13">
        <v>400</v>
      </c>
      <c r="CH149" s="13">
        <v>2</v>
      </c>
      <c r="CI149" s="14">
        <f t="shared" si="56"/>
        <v>0.16</v>
      </c>
      <c r="CJ149" s="13"/>
      <c r="CK149" s="14"/>
      <c r="CL149" s="41"/>
      <c r="CN149" s="122">
        <v>3</v>
      </c>
      <c r="CO149" s="122">
        <v>5</v>
      </c>
      <c r="CP149" s="122">
        <v>400</v>
      </c>
      <c r="CQ149" s="122">
        <v>530</v>
      </c>
      <c r="CR149" s="123">
        <f t="shared" si="42"/>
        <v>3.18</v>
      </c>
      <c r="CS149" s="122"/>
      <c r="CT149" s="123"/>
      <c r="CU149" s="126"/>
      <c r="CW149" s="115"/>
      <c r="CX149" s="115"/>
      <c r="CY149" s="115"/>
      <c r="CZ149" s="17">
        <f>SUM(CZ107:CZ148)</f>
        <v>897</v>
      </c>
      <c r="DA149" s="32">
        <f>SUM(DA107:DA148)</f>
        <v>12.196199999999999</v>
      </c>
      <c r="DB149" s="17">
        <f>SUM(DB107:DB148)</f>
        <v>897</v>
      </c>
      <c r="DC149" s="32">
        <f>SUM(DC107:DC148)</f>
        <v>12.196200000000003</v>
      </c>
      <c r="DD149" s="146"/>
      <c r="DF149" s="13">
        <v>8</v>
      </c>
      <c r="DG149" s="13">
        <v>10</v>
      </c>
      <c r="DH149" s="13">
        <v>400</v>
      </c>
      <c r="DI149" s="13">
        <v>1</v>
      </c>
      <c r="DJ149" s="14">
        <f t="shared" si="47"/>
        <v>3.2000000000000001E-2</v>
      </c>
      <c r="DK149" s="13"/>
      <c r="DL149" s="14"/>
      <c r="DM149" s="13"/>
    </row>
    <row r="150" spans="2:117" ht="16.5" thickTop="1" x14ac:dyDescent="0.25">
      <c r="B150" s="28" t="s">
        <v>16</v>
      </c>
      <c r="C150" s="27" t="s">
        <v>35</v>
      </c>
      <c r="D150" s="26"/>
      <c r="E150" s="26"/>
      <c r="F150" s="26"/>
      <c r="G150" s="26"/>
      <c r="H150" s="26"/>
      <c r="I150" s="26"/>
      <c r="K150" s="13">
        <v>4.5</v>
      </c>
      <c r="L150" s="13">
        <v>18</v>
      </c>
      <c r="M150" s="13">
        <v>400</v>
      </c>
      <c r="N150" s="13">
        <v>3</v>
      </c>
      <c r="O150" s="14">
        <f t="shared" si="50"/>
        <v>9.7199999999999995E-2</v>
      </c>
      <c r="P150" s="13"/>
      <c r="Q150" s="14"/>
      <c r="R150" s="13"/>
      <c r="T150" s="4" t="s">
        <v>2</v>
      </c>
      <c r="U150" s="4"/>
      <c r="V150" s="6">
        <f>SUM(W52)</f>
        <v>275</v>
      </c>
      <c r="W150" s="7">
        <f>SUM(X52)</f>
        <v>10.465600000000006</v>
      </c>
      <c r="X150" s="4" t="s">
        <v>0</v>
      </c>
      <c r="Y150" s="4" t="s">
        <v>119</v>
      </c>
      <c r="Z150" s="6">
        <f>SUM(W131:W145,W110:W129,W98:W99,W86:W96,W61:W84,W32:W51,W8:W30)</f>
        <v>633</v>
      </c>
      <c r="AA150" s="5">
        <f>SUM(X131:X145,X110:X129,X98:X99,X86:X96,X61:X84,X32:X51,X8:X30)</f>
        <v>23.996359999999992</v>
      </c>
      <c r="AC150" s="13">
        <v>4.5</v>
      </c>
      <c r="AD150" s="13">
        <v>18</v>
      </c>
      <c r="AE150" s="13">
        <v>400</v>
      </c>
      <c r="AF150" s="13">
        <v>9</v>
      </c>
      <c r="AG150" s="14">
        <f t="shared" ref="AG150:AG167" si="59">AC150*AD150*AE150*AF150/1000000</f>
        <v>0.29160000000000003</v>
      </c>
      <c r="AH150" s="13"/>
      <c r="AI150" s="14"/>
      <c r="AJ150" s="13"/>
      <c r="AL150" s="13">
        <v>10</v>
      </c>
      <c r="AM150" s="13">
        <v>25</v>
      </c>
      <c r="AN150" s="13">
        <v>400</v>
      </c>
      <c r="AO150" s="13">
        <v>1</v>
      </c>
      <c r="AP150" s="14">
        <f t="shared" si="54"/>
        <v>0.1</v>
      </c>
      <c r="AQ150" s="13"/>
      <c r="AR150" s="14"/>
      <c r="AS150" s="13"/>
      <c r="AU150" s="122">
        <v>5</v>
      </c>
      <c r="AV150" s="122">
        <v>7</v>
      </c>
      <c r="AW150" s="122">
        <v>400</v>
      </c>
      <c r="AX150" s="122">
        <v>4</v>
      </c>
      <c r="AY150" s="123">
        <f t="shared" si="52"/>
        <v>5.6000000000000001E-2</v>
      </c>
      <c r="AZ150" s="122">
        <f>SUM(AX118:AX150)</f>
        <v>234</v>
      </c>
      <c r="BA150" s="167">
        <f>SUM(AY118:AY150)</f>
        <v>5.9203999999999999</v>
      </c>
      <c r="BB150" s="126" t="s">
        <v>23</v>
      </c>
      <c r="BD150" s="13">
        <v>10</v>
      </c>
      <c r="BE150" s="13">
        <v>25</v>
      </c>
      <c r="BF150" s="13">
        <v>400</v>
      </c>
      <c r="BG150" s="13">
        <v>4</v>
      </c>
      <c r="BH150" s="14">
        <f t="shared" si="55"/>
        <v>0.4</v>
      </c>
      <c r="BI150" s="13"/>
      <c r="BJ150" s="14"/>
      <c r="BK150" s="13"/>
      <c r="BM150" s="13">
        <v>12</v>
      </c>
      <c r="BN150" s="13">
        <v>15</v>
      </c>
      <c r="BO150" s="13">
        <v>400</v>
      </c>
      <c r="BP150" s="13">
        <v>1</v>
      </c>
      <c r="BQ150" s="14">
        <f t="shared" si="58"/>
        <v>7.1999999999999995E-2</v>
      </c>
      <c r="BR150" s="13"/>
      <c r="BS150" s="14"/>
      <c r="BT150" s="13"/>
      <c r="BV150" s="13">
        <v>2.2000000000000002</v>
      </c>
      <c r="BW150" s="13">
        <v>20</v>
      </c>
      <c r="BX150" s="13">
        <v>400</v>
      </c>
      <c r="BY150" s="13">
        <v>1</v>
      </c>
      <c r="BZ150" s="14">
        <f t="shared" si="53"/>
        <v>1.7600000000000001E-2</v>
      </c>
      <c r="CA150" s="13"/>
      <c r="CB150" s="14"/>
      <c r="CC150" s="13"/>
      <c r="CE150" s="13">
        <v>4.5</v>
      </c>
      <c r="CF150" s="13">
        <v>20</v>
      </c>
      <c r="CG150" s="13">
        <v>400</v>
      </c>
      <c r="CH150" s="13">
        <v>7</v>
      </c>
      <c r="CI150" s="14">
        <f t="shared" si="56"/>
        <v>0.252</v>
      </c>
      <c r="CJ150" s="13"/>
      <c r="CK150" s="14"/>
      <c r="CL150" s="41"/>
      <c r="CN150" s="122">
        <v>2</v>
      </c>
      <c r="CO150" s="122">
        <v>3</v>
      </c>
      <c r="CP150" s="122">
        <v>400</v>
      </c>
      <c r="CQ150" s="122">
        <v>175</v>
      </c>
      <c r="CR150" s="123">
        <f t="shared" si="42"/>
        <v>0.42</v>
      </c>
      <c r="CS150" s="122">
        <f>SUM(CQ147:CQ150)</f>
        <v>787</v>
      </c>
      <c r="CT150" s="125">
        <f>SUM(CR147:CR150)</f>
        <v>4.6159999999999997</v>
      </c>
      <c r="CU150" s="126" t="s">
        <v>23</v>
      </c>
      <c r="CW150" s="8" t="s">
        <v>185</v>
      </c>
      <c r="DF150" s="13">
        <v>7</v>
      </c>
      <c r="DG150" s="13">
        <v>10</v>
      </c>
      <c r="DH150" s="13">
        <v>400</v>
      </c>
      <c r="DI150" s="13">
        <v>1</v>
      </c>
      <c r="DJ150" s="14">
        <f t="shared" si="47"/>
        <v>2.8000000000000001E-2</v>
      </c>
      <c r="DK150" s="13"/>
      <c r="DL150" s="14"/>
      <c r="DM150" s="13"/>
    </row>
    <row r="151" spans="2:117" ht="16.5" thickBot="1" x14ac:dyDescent="0.3">
      <c r="B151" s="25"/>
      <c r="C151" s="25"/>
      <c r="D151" s="25"/>
      <c r="E151" s="25"/>
      <c r="F151" s="25"/>
      <c r="G151" s="225" t="s">
        <v>26</v>
      </c>
      <c r="H151" s="225"/>
      <c r="I151" s="225"/>
      <c r="K151" s="13">
        <v>4.5</v>
      </c>
      <c r="L151" s="13">
        <v>15</v>
      </c>
      <c r="M151" s="13">
        <v>400</v>
      </c>
      <c r="N151" s="13">
        <v>15</v>
      </c>
      <c r="O151" s="14">
        <f t="shared" ref="O151:O172" si="60">K151*L151*M151*N151/1000000</f>
        <v>0.40500000000000003</v>
      </c>
      <c r="P151" s="13"/>
      <c r="Q151" s="14"/>
      <c r="R151" s="13"/>
      <c r="T151" s="4" t="s">
        <v>1</v>
      </c>
      <c r="U151" s="4"/>
      <c r="V151" s="6">
        <f>SUM(W146)</f>
        <v>608</v>
      </c>
      <c r="W151" s="5">
        <f>SUM(X146)</f>
        <v>12.168120000000002</v>
      </c>
      <c r="X151" s="4" t="s">
        <v>0</v>
      </c>
      <c r="Y151" s="4"/>
      <c r="Z151" s="3">
        <f>SUM(Z149:Z150)</f>
        <v>2148</v>
      </c>
      <c r="AA151" s="153">
        <f>SUM(AA149:AA150)</f>
        <v>35.056359999999991</v>
      </c>
      <c r="AC151" s="13">
        <v>4.5</v>
      </c>
      <c r="AD151" s="13">
        <v>15</v>
      </c>
      <c r="AE151" s="13">
        <v>400</v>
      </c>
      <c r="AF151" s="13">
        <v>8</v>
      </c>
      <c r="AG151" s="14">
        <f t="shared" si="59"/>
        <v>0.216</v>
      </c>
      <c r="AH151" s="13"/>
      <c r="AI151" s="14"/>
      <c r="AJ151" s="13"/>
      <c r="AL151" s="13">
        <v>10</v>
      </c>
      <c r="AM151" s="13">
        <v>33</v>
      </c>
      <c r="AN151" s="13">
        <v>400</v>
      </c>
      <c r="AO151" s="13">
        <v>2</v>
      </c>
      <c r="AP151" s="14">
        <f t="shared" si="54"/>
        <v>0.26400000000000001</v>
      </c>
      <c r="AQ151" s="13"/>
      <c r="AR151" s="14"/>
      <c r="AS151" s="13"/>
      <c r="AU151" s="237"/>
      <c r="AV151" s="237"/>
      <c r="AW151" s="238"/>
      <c r="AX151" s="17">
        <f>SUM(AX91:AX150)</f>
        <v>858</v>
      </c>
      <c r="AY151" s="32">
        <f>SUM(AY91:AY150)</f>
        <v>11.018999999999995</v>
      </c>
      <c r="AZ151" s="17">
        <f>SUM(AZ91:AZ150)</f>
        <v>858</v>
      </c>
      <c r="BA151" s="32">
        <f>SUM(BA91:BA150)</f>
        <v>11.018999999999998</v>
      </c>
      <c r="BB151" s="17"/>
      <c r="BD151" s="13">
        <v>13</v>
      </c>
      <c r="BE151" s="13">
        <v>25</v>
      </c>
      <c r="BF151" s="13">
        <v>400</v>
      </c>
      <c r="BG151" s="13">
        <v>2</v>
      </c>
      <c r="BH151" s="14">
        <f t="shared" si="55"/>
        <v>0.26</v>
      </c>
      <c r="BI151" s="13"/>
      <c r="BJ151" s="14"/>
      <c r="BK151" s="13"/>
      <c r="BM151" s="13">
        <v>8</v>
      </c>
      <c r="BN151" s="13">
        <v>12</v>
      </c>
      <c r="BO151" s="13">
        <v>400</v>
      </c>
      <c r="BP151" s="13">
        <v>1</v>
      </c>
      <c r="BQ151" s="14">
        <f t="shared" si="58"/>
        <v>3.8399999999999997E-2</v>
      </c>
      <c r="BR151" s="13"/>
      <c r="BS151" s="14"/>
      <c r="BT151" s="13"/>
      <c r="BV151" s="13">
        <v>4.5</v>
      </c>
      <c r="BW151" s="13">
        <v>20</v>
      </c>
      <c r="BX151" s="13">
        <v>400</v>
      </c>
      <c r="BY151" s="13">
        <v>1</v>
      </c>
      <c r="BZ151" s="14">
        <f t="shared" si="53"/>
        <v>3.5999999999999997E-2</v>
      </c>
      <c r="CA151" s="13"/>
      <c r="CB151" s="14"/>
      <c r="CC151" s="13"/>
      <c r="CE151" s="13">
        <v>2.2000000000000002</v>
      </c>
      <c r="CF151" s="13">
        <v>20</v>
      </c>
      <c r="CG151" s="13">
        <v>400</v>
      </c>
      <c r="CH151" s="13">
        <v>3</v>
      </c>
      <c r="CI151" s="14">
        <f t="shared" si="56"/>
        <v>5.28E-2</v>
      </c>
      <c r="CJ151" s="13"/>
      <c r="CK151" s="14"/>
      <c r="CL151" s="41"/>
      <c r="CN151" s="115"/>
      <c r="CO151" s="115"/>
      <c r="CP151" s="115"/>
      <c r="CQ151" s="17">
        <f>SUM(CQ107:CQ150)</f>
        <v>940</v>
      </c>
      <c r="CR151" s="32">
        <f>SUM(CR107:CR150)</f>
        <v>10.815900000000001</v>
      </c>
      <c r="CS151" s="17">
        <f>SUM(CS107:CS150)</f>
        <v>940</v>
      </c>
      <c r="CT151" s="32">
        <f>SUM(CT107:CT150)</f>
        <v>10.815899999999999</v>
      </c>
      <c r="CU151" s="146"/>
      <c r="CW151" s="4" t="s">
        <v>24</v>
      </c>
      <c r="CX151" s="4" t="s">
        <v>0</v>
      </c>
      <c r="CY151" s="6">
        <f>SUM(CZ49)</f>
        <v>805</v>
      </c>
      <c r="CZ151" s="5">
        <f>SUM(DA49)</f>
        <v>11.98682</v>
      </c>
      <c r="DA151" s="7" t="s">
        <v>23</v>
      </c>
      <c r="DB151" s="6">
        <f>SUM(DB145+DB141+DB94+DB44+DB48+DB97)</f>
        <v>1999</v>
      </c>
      <c r="DC151" s="7">
        <f>SUM(DC145+DC141+DC94+DC44+DC48+DC97)</f>
        <v>27.66582</v>
      </c>
      <c r="DF151" s="61">
        <v>10</v>
      </c>
      <c r="DG151" s="61">
        <v>10</v>
      </c>
      <c r="DH151" s="61">
        <v>400</v>
      </c>
      <c r="DI151" s="61">
        <v>1</v>
      </c>
      <c r="DJ151" s="63">
        <f>DF151*DG151*DH151*DI151/1000000</f>
        <v>0.04</v>
      </c>
      <c r="DK151" s="64">
        <f>SUM(DI117:DI151)</f>
        <v>163</v>
      </c>
      <c r="DL151" s="69">
        <f>SUM(DJ117:DJ151)</f>
        <v>6.6751999999999985</v>
      </c>
      <c r="DM151" s="70" t="s">
        <v>23</v>
      </c>
    </row>
    <row r="152" spans="2:117" ht="17.25" thickTop="1" thickBot="1" x14ac:dyDescent="0.3">
      <c r="B152" s="226" t="s">
        <v>13</v>
      </c>
      <c r="C152" s="227"/>
      <c r="D152" s="228"/>
      <c r="E152" s="227" t="s">
        <v>12</v>
      </c>
      <c r="F152" s="228"/>
      <c r="G152" s="227" t="s">
        <v>12</v>
      </c>
      <c r="H152" s="228"/>
      <c r="I152" s="229" t="s">
        <v>11</v>
      </c>
      <c r="K152" s="13">
        <v>4.5</v>
      </c>
      <c r="L152" s="13">
        <v>15</v>
      </c>
      <c r="M152" s="13">
        <v>350</v>
      </c>
      <c r="N152" s="13">
        <v>1</v>
      </c>
      <c r="O152" s="14">
        <f t="shared" si="60"/>
        <v>2.3625E-2</v>
      </c>
      <c r="P152" s="13"/>
      <c r="Q152" s="14"/>
      <c r="R152" s="13"/>
      <c r="T152" s="4"/>
      <c r="U152" s="4"/>
      <c r="V152" s="3">
        <f>SUM(V149:V151)</f>
        <v>2148</v>
      </c>
      <c r="W152" s="2">
        <f>SUM(W149:W151)</f>
        <v>35.056360000000012</v>
      </c>
      <c r="AC152" s="13">
        <v>4.5</v>
      </c>
      <c r="AD152" s="13">
        <v>13</v>
      </c>
      <c r="AE152" s="13">
        <v>400</v>
      </c>
      <c r="AF152" s="13">
        <v>5</v>
      </c>
      <c r="AG152" s="14">
        <f t="shared" si="59"/>
        <v>0.11700000000000001</v>
      </c>
      <c r="AH152" s="13"/>
      <c r="AI152" s="14"/>
      <c r="AJ152" s="13"/>
      <c r="AL152" s="13">
        <v>15</v>
      </c>
      <c r="AM152" s="13">
        <v>28</v>
      </c>
      <c r="AN152" s="13">
        <v>400</v>
      </c>
      <c r="AO152" s="13">
        <v>1</v>
      </c>
      <c r="AP152" s="14">
        <f t="shared" si="54"/>
        <v>0.16800000000000001</v>
      </c>
      <c r="AQ152" s="13"/>
      <c r="AR152" s="14"/>
      <c r="AS152" s="13"/>
      <c r="BD152" s="13">
        <v>7</v>
      </c>
      <c r="BE152" s="13">
        <v>25</v>
      </c>
      <c r="BF152" s="13">
        <v>400</v>
      </c>
      <c r="BG152" s="13">
        <v>2</v>
      </c>
      <c r="BH152" s="14">
        <f t="shared" si="55"/>
        <v>0.14000000000000001</v>
      </c>
      <c r="BI152" s="13"/>
      <c r="BJ152" s="14"/>
      <c r="BK152" s="41"/>
      <c r="BM152" s="13">
        <v>3</v>
      </c>
      <c r="BN152" s="13">
        <v>10</v>
      </c>
      <c r="BO152" s="13">
        <v>400</v>
      </c>
      <c r="BP152" s="13">
        <v>2</v>
      </c>
      <c r="BQ152" s="14">
        <f t="shared" si="58"/>
        <v>2.4E-2</v>
      </c>
      <c r="BR152" s="13"/>
      <c r="BS152" s="14"/>
      <c r="BT152" s="13"/>
      <c r="BV152" s="13">
        <v>7</v>
      </c>
      <c r="BW152" s="13">
        <v>15</v>
      </c>
      <c r="BX152" s="13">
        <v>400</v>
      </c>
      <c r="BY152" s="13">
        <v>1</v>
      </c>
      <c r="BZ152" s="14">
        <f t="shared" si="53"/>
        <v>4.2000000000000003E-2</v>
      </c>
      <c r="CA152" s="13"/>
      <c r="CB152" s="14"/>
      <c r="CC152" s="13"/>
      <c r="CE152" s="13">
        <v>15</v>
      </c>
      <c r="CF152" s="13">
        <v>20</v>
      </c>
      <c r="CG152" s="13">
        <v>400</v>
      </c>
      <c r="CH152" s="13">
        <v>3</v>
      </c>
      <c r="CI152" s="14">
        <f t="shared" si="56"/>
        <v>0.36</v>
      </c>
      <c r="CJ152" s="13"/>
      <c r="CK152" s="14"/>
      <c r="CL152" s="41"/>
      <c r="CW152" s="4" t="s">
        <v>22</v>
      </c>
      <c r="CX152" s="4" t="s">
        <v>0</v>
      </c>
      <c r="CY152" s="6">
        <f>SUM(CZ98)</f>
        <v>505</v>
      </c>
      <c r="CZ152" s="7">
        <f>SUM(DA98)</f>
        <v>10.577799999999998</v>
      </c>
      <c r="DA152" s="7" t="s">
        <v>21</v>
      </c>
      <c r="DB152" s="6">
        <f>SUM(DB148+DB76)</f>
        <v>208</v>
      </c>
      <c r="DC152" s="5">
        <f>SUM(DC148+DC76)</f>
        <v>7.0949999999999989</v>
      </c>
      <c r="DF152" s="122">
        <v>5</v>
      </c>
      <c r="DG152" s="122">
        <v>7</v>
      </c>
      <c r="DH152" s="122">
        <v>400</v>
      </c>
      <c r="DI152" s="122">
        <v>180</v>
      </c>
      <c r="DJ152" s="123">
        <f>DF152*DG152*DH152*DI152/1000000</f>
        <v>2.52</v>
      </c>
      <c r="DK152" s="133"/>
      <c r="DL152" s="161"/>
      <c r="DM152" s="126"/>
    </row>
    <row r="153" spans="2:117" ht="17.25" thickTop="1" thickBot="1" x14ac:dyDescent="0.3">
      <c r="B153" s="24" t="s">
        <v>10</v>
      </c>
      <c r="C153" s="23" t="s">
        <v>9</v>
      </c>
      <c r="D153" s="23" t="s">
        <v>8</v>
      </c>
      <c r="E153" s="22" t="s">
        <v>7</v>
      </c>
      <c r="F153" s="21" t="s">
        <v>6</v>
      </c>
      <c r="G153" s="22" t="s">
        <v>7</v>
      </c>
      <c r="H153" s="21" t="s">
        <v>6</v>
      </c>
      <c r="I153" s="230"/>
      <c r="K153" s="13">
        <v>4.5</v>
      </c>
      <c r="L153" s="13">
        <v>13</v>
      </c>
      <c r="M153" s="13">
        <v>400</v>
      </c>
      <c r="N153" s="13">
        <v>11</v>
      </c>
      <c r="O153" s="14">
        <f t="shared" si="60"/>
        <v>0.25740000000000002</v>
      </c>
      <c r="P153" s="13"/>
      <c r="Q153" s="14"/>
      <c r="R153" s="13"/>
      <c r="AC153" s="13">
        <v>4.5</v>
      </c>
      <c r="AD153" s="13">
        <v>10</v>
      </c>
      <c r="AE153" s="13">
        <v>400</v>
      </c>
      <c r="AF153" s="13">
        <v>92</v>
      </c>
      <c r="AG153" s="14">
        <f t="shared" si="59"/>
        <v>1.6559999999999999</v>
      </c>
      <c r="AH153" s="13">
        <f>SUM(AF146:AF153)</f>
        <v>125</v>
      </c>
      <c r="AI153" s="14">
        <f>SUM(AG146:AG153)</f>
        <v>2.718</v>
      </c>
      <c r="AJ153" s="13"/>
      <c r="AL153" s="13">
        <v>13</v>
      </c>
      <c r="AM153" s="13">
        <v>28</v>
      </c>
      <c r="AN153" s="13">
        <v>400</v>
      </c>
      <c r="AO153" s="13">
        <v>1</v>
      </c>
      <c r="AP153" s="14">
        <f t="shared" si="54"/>
        <v>0.14560000000000001</v>
      </c>
      <c r="AQ153" s="13"/>
      <c r="AR153" s="14"/>
      <c r="AS153" s="13"/>
      <c r="AU153" s="28" t="s">
        <v>18</v>
      </c>
      <c r="AV153" s="27" t="s">
        <v>74</v>
      </c>
      <c r="AW153" s="26"/>
      <c r="AX153" s="26"/>
      <c r="AY153" s="26"/>
      <c r="AZ153" s="26"/>
      <c r="BA153" s="26"/>
      <c r="BB153" s="26"/>
      <c r="BD153" s="13">
        <v>13</v>
      </c>
      <c r="BE153" s="13">
        <v>20</v>
      </c>
      <c r="BF153" s="13">
        <v>400</v>
      </c>
      <c r="BG153" s="13">
        <v>2</v>
      </c>
      <c r="BH153" s="14">
        <f t="shared" si="55"/>
        <v>0.20799999999999999</v>
      </c>
      <c r="BI153" s="13"/>
      <c r="BJ153" s="14"/>
      <c r="BK153" s="13"/>
      <c r="BM153" s="13">
        <v>6</v>
      </c>
      <c r="BN153" s="13">
        <v>12</v>
      </c>
      <c r="BO153" s="13">
        <v>400</v>
      </c>
      <c r="BP153" s="13">
        <v>1</v>
      </c>
      <c r="BQ153" s="14">
        <f t="shared" si="58"/>
        <v>2.8799999999999999E-2</v>
      </c>
      <c r="BR153" s="13"/>
      <c r="BS153" s="14"/>
      <c r="BT153" s="13"/>
      <c r="BV153" s="13">
        <v>4.5</v>
      </c>
      <c r="BW153" s="13">
        <v>15</v>
      </c>
      <c r="BX153" s="13">
        <v>400</v>
      </c>
      <c r="BY153" s="13">
        <v>1</v>
      </c>
      <c r="BZ153" s="14">
        <f t="shared" si="53"/>
        <v>2.7E-2</v>
      </c>
      <c r="CA153" s="13"/>
      <c r="CB153" s="14"/>
      <c r="CC153" s="13"/>
      <c r="CE153" s="13">
        <v>13</v>
      </c>
      <c r="CF153" s="13">
        <v>20</v>
      </c>
      <c r="CG153" s="13">
        <v>400</v>
      </c>
      <c r="CH153" s="13">
        <v>2</v>
      </c>
      <c r="CI153" s="14">
        <f t="shared" si="56"/>
        <v>0.20799999999999999</v>
      </c>
      <c r="CJ153" s="13"/>
      <c r="CK153" s="14"/>
      <c r="CL153" s="41"/>
      <c r="CN153" s="8" t="s">
        <v>156</v>
      </c>
      <c r="CW153" s="4" t="s">
        <v>20</v>
      </c>
      <c r="CX153" s="4" t="s">
        <v>0</v>
      </c>
      <c r="CY153" s="6">
        <f>SUM(CZ149)</f>
        <v>897</v>
      </c>
      <c r="CZ153" s="7">
        <f>SUM(DA149)</f>
        <v>12.196199999999999</v>
      </c>
      <c r="DA153" s="4"/>
      <c r="DB153" s="3">
        <f>SUM(DB151:DB152)</f>
        <v>2207</v>
      </c>
      <c r="DC153" s="53">
        <f>SUM(DC151:DC152)</f>
        <v>34.760819999999995</v>
      </c>
      <c r="DF153" s="122">
        <v>4</v>
      </c>
      <c r="DG153" s="122">
        <v>6</v>
      </c>
      <c r="DH153" s="122">
        <v>400</v>
      </c>
      <c r="DI153" s="122">
        <v>54</v>
      </c>
      <c r="DJ153" s="123">
        <f t="shared" ref="DJ153:DJ154" si="61">DF153*DG153*DH153*DI153/1000000</f>
        <v>0.51839999999999997</v>
      </c>
      <c r="DK153" s="133"/>
      <c r="DL153" s="161"/>
      <c r="DM153" s="126"/>
    </row>
    <row r="154" spans="2:117" ht="17.25" thickTop="1" thickBot="1" x14ac:dyDescent="0.3">
      <c r="B154" s="13">
        <v>15</v>
      </c>
      <c r="C154" s="13">
        <v>30</v>
      </c>
      <c r="D154" s="13">
        <v>400</v>
      </c>
      <c r="E154" s="13">
        <v>3</v>
      </c>
      <c r="F154" s="20">
        <f t="shared" ref="F154:F193" si="62">B154*C154*D154*E154/1000000</f>
        <v>0.54</v>
      </c>
      <c r="G154" s="13"/>
      <c r="H154" s="14"/>
      <c r="I154" s="13"/>
      <c r="K154" s="13">
        <v>4.5</v>
      </c>
      <c r="L154" s="13">
        <v>10</v>
      </c>
      <c r="M154" s="13">
        <v>400</v>
      </c>
      <c r="N154" s="13">
        <v>34</v>
      </c>
      <c r="O154" s="14">
        <f t="shared" si="60"/>
        <v>0.61199999999999999</v>
      </c>
      <c r="P154" s="13"/>
      <c r="Q154" s="14"/>
      <c r="R154" s="13"/>
      <c r="AC154" s="13">
        <v>3.5</v>
      </c>
      <c r="AD154" s="13">
        <v>25</v>
      </c>
      <c r="AE154" s="13">
        <v>400</v>
      </c>
      <c r="AF154" s="13">
        <v>1</v>
      </c>
      <c r="AG154" s="14">
        <f t="shared" si="59"/>
        <v>3.5000000000000003E-2</v>
      </c>
      <c r="AH154" s="13"/>
      <c r="AI154" s="14"/>
      <c r="AJ154" s="13"/>
      <c r="AL154" s="13">
        <v>7</v>
      </c>
      <c r="AM154" s="13">
        <v>20</v>
      </c>
      <c r="AN154" s="13">
        <v>400</v>
      </c>
      <c r="AO154" s="13">
        <v>3</v>
      </c>
      <c r="AP154" s="14">
        <f t="shared" si="54"/>
        <v>0.16800000000000001</v>
      </c>
      <c r="AQ154" s="13"/>
      <c r="AR154" s="14"/>
      <c r="AS154" s="13"/>
      <c r="AU154" s="28" t="s">
        <v>16</v>
      </c>
      <c r="AV154" s="27" t="s">
        <v>93</v>
      </c>
      <c r="AW154" s="26"/>
      <c r="AX154" s="26"/>
      <c r="AY154" s="26"/>
      <c r="AZ154" s="26"/>
      <c r="BA154" s="26"/>
      <c r="BB154" s="26"/>
      <c r="BD154" s="13">
        <v>8</v>
      </c>
      <c r="BE154" s="13">
        <v>20</v>
      </c>
      <c r="BF154" s="13">
        <v>400</v>
      </c>
      <c r="BG154" s="13">
        <v>5</v>
      </c>
      <c r="BH154" s="14">
        <f t="shared" si="55"/>
        <v>0.32</v>
      </c>
      <c r="BI154" s="13"/>
      <c r="BJ154" s="14"/>
      <c r="BK154" s="41"/>
      <c r="BM154" s="13">
        <v>6</v>
      </c>
      <c r="BN154" s="13">
        <v>10</v>
      </c>
      <c r="BO154" s="13">
        <v>400</v>
      </c>
      <c r="BP154" s="13">
        <v>1</v>
      </c>
      <c r="BQ154" s="14">
        <f t="shared" si="58"/>
        <v>2.4E-2</v>
      </c>
      <c r="BR154" s="13"/>
      <c r="BS154" s="14"/>
      <c r="BT154" s="13"/>
      <c r="BV154" s="13">
        <v>2.2000000000000002</v>
      </c>
      <c r="BW154" s="13">
        <v>15</v>
      </c>
      <c r="BX154" s="13">
        <v>400</v>
      </c>
      <c r="BY154" s="13">
        <v>2</v>
      </c>
      <c r="BZ154" s="14">
        <f t="shared" si="53"/>
        <v>2.64E-2</v>
      </c>
      <c r="CA154" s="13"/>
      <c r="CB154" s="14"/>
      <c r="CC154" s="13"/>
      <c r="CE154" s="13">
        <v>10</v>
      </c>
      <c r="CF154" s="13">
        <v>15</v>
      </c>
      <c r="CG154" s="13">
        <v>400</v>
      </c>
      <c r="CH154" s="13">
        <v>4</v>
      </c>
      <c r="CI154" s="14">
        <f t="shared" si="56"/>
        <v>0.24</v>
      </c>
      <c r="CJ154" s="13"/>
      <c r="CK154" s="14"/>
      <c r="CL154" s="41"/>
      <c r="CN154" s="4" t="s">
        <v>24</v>
      </c>
      <c r="CO154" s="4"/>
      <c r="CP154" s="6">
        <f>SUM(CQ53)</f>
        <v>1183</v>
      </c>
      <c r="CQ154" s="6">
        <f>SUM(CR53)</f>
        <v>13.323120000000001</v>
      </c>
      <c r="CR154" s="7" t="s">
        <v>23</v>
      </c>
      <c r="CS154" s="6">
        <f>SUM(CS146:CS150,CS97,CS52)</f>
        <v>2659</v>
      </c>
      <c r="CT154" s="7">
        <f>SUM(CT146:CT150,CT97,CT52)</f>
        <v>33.604759999999999</v>
      </c>
      <c r="CW154" s="4"/>
      <c r="CX154" s="4"/>
      <c r="CY154" s="30">
        <f>SUM(CY151:CY153)</f>
        <v>2207</v>
      </c>
      <c r="CZ154" s="29">
        <f>SUM(CZ151:CZ153)</f>
        <v>34.760819999999995</v>
      </c>
      <c r="DF154" s="122">
        <v>3</v>
      </c>
      <c r="DG154" s="122">
        <v>5</v>
      </c>
      <c r="DH154" s="122">
        <v>400</v>
      </c>
      <c r="DI154" s="122">
        <v>410</v>
      </c>
      <c r="DJ154" s="123">
        <f t="shared" si="61"/>
        <v>2.46</v>
      </c>
      <c r="DK154" s="133"/>
      <c r="DL154" s="161"/>
      <c r="DM154" s="126"/>
    </row>
    <row r="155" spans="2:117" ht="16.5" thickTop="1" x14ac:dyDescent="0.25">
      <c r="B155" s="13">
        <v>15</v>
      </c>
      <c r="C155" s="13">
        <v>30</v>
      </c>
      <c r="D155" s="13">
        <v>400</v>
      </c>
      <c r="E155" s="13">
        <v>3</v>
      </c>
      <c r="F155" s="20">
        <f t="shared" si="62"/>
        <v>0.54</v>
      </c>
      <c r="G155" s="13"/>
      <c r="H155" s="14"/>
      <c r="I155" s="13"/>
      <c r="K155" s="13">
        <v>4.5</v>
      </c>
      <c r="L155" s="13">
        <v>10</v>
      </c>
      <c r="M155" s="13">
        <v>350</v>
      </c>
      <c r="N155" s="13">
        <v>3</v>
      </c>
      <c r="O155" s="14">
        <f t="shared" si="60"/>
        <v>4.725E-2</v>
      </c>
      <c r="P155" s="13"/>
      <c r="Q155" s="14"/>
      <c r="R155" s="13"/>
      <c r="T155" s="231" t="s">
        <v>19</v>
      </c>
      <c r="U155" s="231"/>
      <c r="V155" s="231"/>
      <c r="W155" s="231"/>
      <c r="X155" s="231"/>
      <c r="Y155" s="231"/>
      <c r="Z155" s="231"/>
      <c r="AA155" s="231"/>
      <c r="AC155" s="13">
        <v>3.5</v>
      </c>
      <c r="AD155" s="13">
        <v>18</v>
      </c>
      <c r="AE155" s="13">
        <v>400</v>
      </c>
      <c r="AF155" s="13">
        <v>1</v>
      </c>
      <c r="AG155" s="14">
        <f t="shared" si="59"/>
        <v>2.52E-2</v>
      </c>
      <c r="AH155" s="13"/>
      <c r="AI155" s="14"/>
      <c r="AJ155" s="13"/>
      <c r="AL155" s="13">
        <v>7</v>
      </c>
      <c r="AM155" s="13">
        <v>18</v>
      </c>
      <c r="AN155" s="13">
        <v>400</v>
      </c>
      <c r="AO155" s="13">
        <v>1</v>
      </c>
      <c r="AP155" s="14">
        <f t="shared" si="54"/>
        <v>5.04E-2</v>
      </c>
      <c r="AQ155" s="13"/>
      <c r="AR155" s="14"/>
      <c r="AS155" s="13"/>
      <c r="AU155" s="43"/>
      <c r="AV155" s="25"/>
      <c r="AW155" s="25"/>
      <c r="AX155" s="25"/>
      <c r="AY155" s="25"/>
      <c r="AZ155" s="225" t="s">
        <v>94</v>
      </c>
      <c r="BA155" s="225"/>
      <c r="BB155" s="225"/>
      <c r="BD155" s="13">
        <v>7</v>
      </c>
      <c r="BE155" s="13">
        <v>20</v>
      </c>
      <c r="BF155" s="13">
        <v>400</v>
      </c>
      <c r="BG155" s="13">
        <v>12</v>
      </c>
      <c r="BH155" s="14">
        <f t="shared" si="55"/>
        <v>0.67200000000000004</v>
      </c>
      <c r="BI155" s="13"/>
      <c r="BJ155" s="14"/>
      <c r="BK155" s="41"/>
      <c r="BM155" s="13">
        <v>10</v>
      </c>
      <c r="BN155" s="13">
        <v>10</v>
      </c>
      <c r="BO155" s="13">
        <v>400</v>
      </c>
      <c r="BP155" s="13">
        <v>1</v>
      </c>
      <c r="BQ155" s="14">
        <f t="shared" si="58"/>
        <v>0.04</v>
      </c>
      <c r="BR155" s="13"/>
      <c r="BS155" s="14"/>
      <c r="BT155" s="13"/>
      <c r="BV155" s="13">
        <v>4.5</v>
      </c>
      <c r="BW155" s="13">
        <v>10</v>
      </c>
      <c r="BX155" s="13">
        <v>400</v>
      </c>
      <c r="BY155" s="13">
        <v>42</v>
      </c>
      <c r="BZ155" s="14">
        <f t="shared" si="53"/>
        <v>0.75600000000000001</v>
      </c>
      <c r="CA155" s="13"/>
      <c r="CB155" s="14"/>
      <c r="CC155" s="13"/>
      <c r="CE155" s="13">
        <v>4.5</v>
      </c>
      <c r="CF155" s="13">
        <v>15</v>
      </c>
      <c r="CG155" s="13">
        <v>400</v>
      </c>
      <c r="CH155" s="13">
        <v>2</v>
      </c>
      <c r="CI155" s="14">
        <f t="shared" si="56"/>
        <v>5.3999999999999999E-2</v>
      </c>
      <c r="CJ155" s="13"/>
      <c r="CK155" s="14"/>
      <c r="CL155" s="41"/>
      <c r="CN155" s="4" t="s">
        <v>22</v>
      </c>
      <c r="CO155" s="4"/>
      <c r="CP155" s="6">
        <f>SUM(CQ98)</f>
        <v>611</v>
      </c>
      <c r="CQ155" s="6">
        <f>SUM(CR98)</f>
        <v>12.30724</v>
      </c>
      <c r="CR155" s="7" t="s">
        <v>21</v>
      </c>
      <c r="CS155" s="6">
        <f>SUM(CS125)</f>
        <v>75</v>
      </c>
      <c r="CT155" s="7">
        <f>SUM(CT125)</f>
        <v>2.8414999999999999</v>
      </c>
      <c r="DA155" s="7" t="s">
        <v>118</v>
      </c>
      <c r="DB155" s="6">
        <f>SUM(DB145+DB97+DB48)</f>
        <v>1376</v>
      </c>
      <c r="DC155" s="7">
        <f>SUM(DC145+DC97+DC48)</f>
        <v>8.3066000000000013</v>
      </c>
      <c r="DF155" s="122">
        <v>2</v>
      </c>
      <c r="DG155" s="122">
        <v>3</v>
      </c>
      <c r="DH155" s="122">
        <v>400</v>
      </c>
      <c r="DI155" s="122">
        <v>125</v>
      </c>
      <c r="DJ155" s="123">
        <f>DF155*DG155*DH155*DI155/1000000</f>
        <v>0.3</v>
      </c>
      <c r="DK155" s="133">
        <f>SUM(DI152:DI155)</f>
        <v>769</v>
      </c>
      <c r="DL155" s="161">
        <f>SUM(DJ152:DJ155)</f>
        <v>5.7984</v>
      </c>
      <c r="DM155" s="126"/>
    </row>
    <row r="156" spans="2:117" ht="16.5" thickBot="1" x14ac:dyDescent="0.3">
      <c r="B156" s="13">
        <v>15</v>
      </c>
      <c r="C156" s="13">
        <v>25</v>
      </c>
      <c r="D156" s="13">
        <v>400</v>
      </c>
      <c r="E156" s="13">
        <v>4</v>
      </c>
      <c r="F156" s="20">
        <f t="shared" si="62"/>
        <v>0.6</v>
      </c>
      <c r="G156" s="13"/>
      <c r="H156" s="14"/>
      <c r="I156" s="13"/>
      <c r="K156" s="122">
        <v>4.2</v>
      </c>
      <c r="L156" s="122">
        <v>7</v>
      </c>
      <c r="M156" s="122">
        <v>400</v>
      </c>
      <c r="N156" s="122">
        <v>21</v>
      </c>
      <c r="O156" s="123">
        <f t="shared" si="60"/>
        <v>0.24696000000000001</v>
      </c>
      <c r="P156" s="122">
        <f>SUM(N147:N156)</f>
        <v>91</v>
      </c>
      <c r="Q156" s="123">
        <f>SUM(O147:O156)</f>
        <v>1.8118350000000003</v>
      </c>
      <c r="R156" s="122"/>
      <c r="T156" s="231"/>
      <c r="U156" s="231"/>
      <c r="V156" s="231"/>
      <c r="W156" s="231"/>
      <c r="X156" s="231"/>
      <c r="Y156" s="231"/>
      <c r="Z156" s="231"/>
      <c r="AA156" s="231"/>
      <c r="AC156" s="13">
        <v>3.5</v>
      </c>
      <c r="AD156" s="13">
        <v>15</v>
      </c>
      <c r="AE156" s="13">
        <v>400</v>
      </c>
      <c r="AF156" s="13">
        <v>6</v>
      </c>
      <c r="AG156" s="14">
        <f t="shared" si="59"/>
        <v>0.126</v>
      </c>
      <c r="AH156" s="13"/>
      <c r="AI156" s="14"/>
      <c r="AJ156" s="13"/>
      <c r="AL156" s="13">
        <v>2</v>
      </c>
      <c r="AM156" s="13">
        <v>30</v>
      </c>
      <c r="AN156" s="13">
        <v>400</v>
      </c>
      <c r="AO156" s="13">
        <v>1</v>
      </c>
      <c r="AP156" s="14">
        <f t="shared" si="54"/>
        <v>2.4E-2</v>
      </c>
      <c r="AQ156" s="13"/>
      <c r="AR156" s="14"/>
      <c r="AS156" s="13"/>
      <c r="AU156" s="226" t="s">
        <v>13</v>
      </c>
      <c r="AV156" s="227"/>
      <c r="AW156" s="228"/>
      <c r="AX156" s="227" t="s">
        <v>12</v>
      </c>
      <c r="AY156" s="228"/>
      <c r="AZ156" s="227" t="s">
        <v>12</v>
      </c>
      <c r="BA156" s="228"/>
      <c r="BB156" s="229" t="s">
        <v>11</v>
      </c>
      <c r="BD156" s="13">
        <v>4.5</v>
      </c>
      <c r="BE156" s="13">
        <v>20</v>
      </c>
      <c r="BF156" s="13">
        <v>400</v>
      </c>
      <c r="BG156" s="13">
        <v>4</v>
      </c>
      <c r="BH156" s="14">
        <f t="shared" si="55"/>
        <v>0.14399999999999999</v>
      </c>
      <c r="BI156" s="13"/>
      <c r="BJ156" s="14"/>
      <c r="BK156" s="13"/>
      <c r="BM156" s="57">
        <v>2</v>
      </c>
      <c r="BN156" s="57">
        <v>3</v>
      </c>
      <c r="BO156" s="57">
        <v>400</v>
      </c>
      <c r="BP156" s="57">
        <v>25</v>
      </c>
      <c r="BQ156" s="56">
        <f t="shared" si="58"/>
        <v>0.06</v>
      </c>
      <c r="BR156" s="57"/>
      <c r="BS156" s="56"/>
      <c r="BT156" s="57"/>
      <c r="BV156" s="13">
        <v>2.2000000000000002</v>
      </c>
      <c r="BW156" s="13">
        <v>10</v>
      </c>
      <c r="BX156" s="13">
        <v>400</v>
      </c>
      <c r="BY156" s="13">
        <v>8</v>
      </c>
      <c r="BZ156" s="14">
        <f t="shared" si="53"/>
        <v>7.0400000000000004E-2</v>
      </c>
      <c r="CA156" s="13"/>
      <c r="CB156" s="14"/>
      <c r="CC156" s="13"/>
      <c r="CE156" s="13">
        <v>10</v>
      </c>
      <c r="CF156" s="13">
        <v>13</v>
      </c>
      <c r="CG156" s="13">
        <v>400</v>
      </c>
      <c r="CH156" s="13">
        <v>2</v>
      </c>
      <c r="CI156" s="14">
        <f t="shared" si="56"/>
        <v>0.104</v>
      </c>
      <c r="CJ156" s="13"/>
      <c r="CK156" s="14"/>
      <c r="CL156" s="41"/>
      <c r="CN156" s="4" t="s">
        <v>20</v>
      </c>
      <c r="CO156" s="4"/>
      <c r="CP156" s="6">
        <f>SUM(CQ151)</f>
        <v>940</v>
      </c>
      <c r="CQ156" s="6">
        <f>SUM(CR151)</f>
        <v>10.815900000000001</v>
      </c>
      <c r="CR156" s="4"/>
      <c r="CS156" s="3">
        <f>SUM(CS154:CS155)</f>
        <v>2734</v>
      </c>
      <c r="CT156" s="53">
        <f>SUM(CT154:CT155)</f>
        <v>36.446259999999995</v>
      </c>
      <c r="DA156" s="7" t="s">
        <v>119</v>
      </c>
      <c r="DB156" s="6">
        <f>SUM(DB141+DB94+DB44)</f>
        <v>623</v>
      </c>
      <c r="DC156" s="7">
        <f>SUM(DC141+DC94+DC44)</f>
        <v>19.359220000000001</v>
      </c>
      <c r="DF156" s="115"/>
      <c r="DG156" s="115"/>
      <c r="DH156" s="115"/>
      <c r="DI156" s="17">
        <f>SUM(DI117:DI155)</f>
        <v>932</v>
      </c>
      <c r="DJ156" s="32">
        <f>SUM(DJ117:DJ155)</f>
        <v>12.473599999999998</v>
      </c>
      <c r="DK156" s="17">
        <f>SUM(DK117:DK155)</f>
        <v>932</v>
      </c>
      <c r="DL156" s="32">
        <f>SUM(DL117:DL155)</f>
        <v>12.473599999999998</v>
      </c>
      <c r="DM156" s="146" t="s">
        <v>23</v>
      </c>
    </row>
    <row r="157" spans="2:117" ht="17.25" thickTop="1" thickBot="1" x14ac:dyDescent="0.3">
      <c r="B157" s="13">
        <v>15</v>
      </c>
      <c r="C157" s="13">
        <v>25</v>
      </c>
      <c r="D157" s="13">
        <v>400</v>
      </c>
      <c r="E157" s="13">
        <v>2</v>
      </c>
      <c r="F157" s="20">
        <f t="shared" si="62"/>
        <v>0.3</v>
      </c>
      <c r="G157" s="13"/>
      <c r="H157" s="14"/>
      <c r="I157" s="13"/>
      <c r="K157" s="13">
        <v>3.5</v>
      </c>
      <c r="L157" s="13">
        <v>20</v>
      </c>
      <c r="M157" s="13">
        <v>400</v>
      </c>
      <c r="N157" s="13">
        <v>2</v>
      </c>
      <c r="O157" s="14">
        <f t="shared" si="60"/>
        <v>5.6000000000000001E-2</v>
      </c>
      <c r="P157" s="13"/>
      <c r="Q157" s="14"/>
      <c r="R157" s="13"/>
      <c r="T157" s="28" t="s">
        <v>18</v>
      </c>
      <c r="U157" s="27" t="s">
        <v>17</v>
      </c>
      <c r="V157" s="26"/>
      <c r="W157" s="26"/>
      <c r="X157" s="26"/>
      <c r="Y157" s="26"/>
      <c r="Z157" s="232" t="s">
        <v>143</v>
      </c>
      <c r="AA157" s="233"/>
      <c r="AC157" s="13">
        <v>3.5</v>
      </c>
      <c r="AD157" s="13">
        <v>13</v>
      </c>
      <c r="AE157" s="13">
        <v>400</v>
      </c>
      <c r="AF157" s="13">
        <v>1</v>
      </c>
      <c r="AG157" s="14">
        <f t="shared" si="59"/>
        <v>1.8200000000000001E-2</v>
      </c>
      <c r="AH157" s="13"/>
      <c r="AI157" s="14"/>
      <c r="AJ157" s="13"/>
      <c r="AL157" s="13">
        <v>7</v>
      </c>
      <c r="AM157" s="13">
        <v>30</v>
      </c>
      <c r="AN157" s="13">
        <v>400</v>
      </c>
      <c r="AO157" s="13">
        <v>3</v>
      </c>
      <c r="AP157" s="14">
        <f t="shared" si="54"/>
        <v>0.252</v>
      </c>
      <c r="AQ157" s="13"/>
      <c r="AR157" s="14"/>
      <c r="AS157" s="13"/>
      <c r="AU157" s="24" t="s">
        <v>10</v>
      </c>
      <c r="AV157" s="23" t="s">
        <v>9</v>
      </c>
      <c r="AW157" s="23" t="s">
        <v>8</v>
      </c>
      <c r="AX157" s="22" t="s">
        <v>7</v>
      </c>
      <c r="AY157" s="21" t="s">
        <v>6</v>
      </c>
      <c r="AZ157" s="22" t="s">
        <v>7</v>
      </c>
      <c r="BA157" s="21" t="s">
        <v>6</v>
      </c>
      <c r="BB157" s="230"/>
      <c r="BD157" s="13">
        <v>10</v>
      </c>
      <c r="BE157" s="13">
        <v>20</v>
      </c>
      <c r="BF157" s="13">
        <v>400</v>
      </c>
      <c r="BG157" s="13">
        <v>3</v>
      </c>
      <c r="BH157" s="14">
        <f t="shared" si="55"/>
        <v>0.24</v>
      </c>
      <c r="BI157" s="13"/>
      <c r="BJ157" s="14"/>
      <c r="BK157" s="13"/>
      <c r="BM157" s="57">
        <v>4</v>
      </c>
      <c r="BN157" s="57">
        <v>6</v>
      </c>
      <c r="BO157" s="57">
        <v>400</v>
      </c>
      <c r="BP157" s="57">
        <v>6</v>
      </c>
      <c r="BQ157" s="56">
        <f t="shared" si="58"/>
        <v>5.7599999999999998E-2</v>
      </c>
      <c r="BR157" s="57"/>
      <c r="BS157" s="56"/>
      <c r="BT157" s="57"/>
      <c r="BV157" s="13">
        <v>7</v>
      </c>
      <c r="BW157" s="13">
        <v>10</v>
      </c>
      <c r="BX157" s="13">
        <v>400</v>
      </c>
      <c r="BY157" s="13">
        <v>6</v>
      </c>
      <c r="BZ157" s="14">
        <f t="shared" si="53"/>
        <v>0.16800000000000001</v>
      </c>
      <c r="CA157" s="13"/>
      <c r="CB157" s="14"/>
      <c r="CC157" s="13"/>
      <c r="CE157" s="13">
        <v>4.5</v>
      </c>
      <c r="CF157" s="13">
        <v>13</v>
      </c>
      <c r="CG157" s="13">
        <v>400</v>
      </c>
      <c r="CH157" s="13">
        <v>3</v>
      </c>
      <c r="CI157" s="14">
        <f t="shared" si="56"/>
        <v>7.0199999999999999E-2</v>
      </c>
      <c r="CJ157" s="13"/>
      <c r="CK157" s="14"/>
      <c r="CL157" s="41"/>
      <c r="CN157" s="4"/>
      <c r="CO157" s="4"/>
      <c r="CP157" s="30">
        <f>SUM(CP154:CP156)</f>
        <v>2734</v>
      </c>
      <c r="CQ157" s="29">
        <f>SUM(CQ154:CQ156)</f>
        <v>36.446260000000002</v>
      </c>
      <c r="DA157" s="7" t="s">
        <v>149</v>
      </c>
      <c r="DB157" s="6"/>
      <c r="DC157" s="5"/>
    </row>
    <row r="158" spans="2:117" ht="16.5" thickTop="1" x14ac:dyDescent="0.25">
      <c r="B158" s="13">
        <v>15</v>
      </c>
      <c r="C158" s="13">
        <v>20</v>
      </c>
      <c r="D158" s="13">
        <v>400</v>
      </c>
      <c r="E158" s="13">
        <v>6</v>
      </c>
      <c r="F158" s="20">
        <f t="shared" si="62"/>
        <v>0.72</v>
      </c>
      <c r="G158" s="13"/>
      <c r="H158" s="14"/>
      <c r="I158" s="13"/>
      <c r="K158" s="13">
        <v>3.5</v>
      </c>
      <c r="L158" s="13">
        <v>18</v>
      </c>
      <c r="M158" s="13">
        <v>400</v>
      </c>
      <c r="N158" s="13">
        <v>5</v>
      </c>
      <c r="O158" s="14">
        <f t="shared" si="60"/>
        <v>0.126</v>
      </c>
      <c r="P158" s="13"/>
      <c r="Q158" s="14"/>
      <c r="R158" s="13"/>
      <c r="T158" s="28" t="s">
        <v>16</v>
      </c>
      <c r="U158" s="27" t="s">
        <v>15</v>
      </c>
      <c r="V158" s="26"/>
      <c r="W158" s="26"/>
      <c r="X158" s="26"/>
      <c r="Y158" s="26"/>
      <c r="Z158" s="234"/>
      <c r="AA158" s="235"/>
      <c r="AC158" s="13">
        <v>3.5</v>
      </c>
      <c r="AD158" s="13">
        <v>10</v>
      </c>
      <c r="AE158" s="13">
        <v>400</v>
      </c>
      <c r="AF158" s="13">
        <v>22</v>
      </c>
      <c r="AG158" s="14">
        <f t="shared" si="59"/>
        <v>0.308</v>
      </c>
      <c r="AH158" s="13">
        <f>SUM(AF154:AF158)</f>
        <v>31</v>
      </c>
      <c r="AI158" s="14">
        <f>SUM(AG154:AG158)</f>
        <v>0.51239999999999997</v>
      </c>
      <c r="AJ158" s="13"/>
      <c r="AL158" s="13">
        <v>10</v>
      </c>
      <c r="AM158" s="13">
        <v>30</v>
      </c>
      <c r="AN158" s="13">
        <v>400</v>
      </c>
      <c r="AO158" s="13">
        <v>3</v>
      </c>
      <c r="AP158" s="14">
        <f t="shared" si="54"/>
        <v>0.36</v>
      </c>
      <c r="AQ158" s="13"/>
      <c r="AR158" s="14"/>
      <c r="AS158" s="13"/>
      <c r="AU158" s="13">
        <v>12</v>
      </c>
      <c r="AV158" s="13">
        <v>30</v>
      </c>
      <c r="AW158" s="13">
        <v>400</v>
      </c>
      <c r="AX158" s="13">
        <v>1</v>
      </c>
      <c r="AY158" s="14">
        <f t="shared" ref="AY158:AY227" si="63">AU158*AV158*AW158*AX158/1000000</f>
        <v>0.14399999999999999</v>
      </c>
      <c r="AZ158" s="13"/>
      <c r="BA158" s="14"/>
      <c r="BB158" s="13"/>
      <c r="BD158" s="13">
        <v>2.2000000000000002</v>
      </c>
      <c r="BE158" s="13">
        <v>20</v>
      </c>
      <c r="BF158" s="13">
        <v>400</v>
      </c>
      <c r="BG158" s="13">
        <v>2</v>
      </c>
      <c r="BH158" s="14">
        <f t="shared" si="55"/>
        <v>3.5200000000000002E-2</v>
      </c>
      <c r="BI158" s="13"/>
      <c r="BJ158" s="14"/>
      <c r="BK158" s="13"/>
      <c r="BM158" s="57">
        <v>3</v>
      </c>
      <c r="BN158" s="57">
        <v>5</v>
      </c>
      <c r="BO158" s="57">
        <v>400</v>
      </c>
      <c r="BP158" s="57">
        <v>20</v>
      </c>
      <c r="BQ158" s="56">
        <f t="shared" si="58"/>
        <v>0.12</v>
      </c>
      <c r="BR158" s="57"/>
      <c r="BS158" s="56"/>
      <c r="BT158" s="57"/>
      <c r="BV158" s="13">
        <v>3.5</v>
      </c>
      <c r="BW158" s="13">
        <v>10</v>
      </c>
      <c r="BX158" s="13">
        <v>400</v>
      </c>
      <c r="BY158" s="13">
        <v>5</v>
      </c>
      <c r="BZ158" s="14">
        <f t="shared" si="53"/>
        <v>7.0000000000000007E-2</v>
      </c>
      <c r="CA158" s="13"/>
      <c r="CB158" s="14"/>
      <c r="CC158" s="13"/>
      <c r="CE158" s="13">
        <v>10</v>
      </c>
      <c r="CF158" s="13">
        <v>10</v>
      </c>
      <c r="CG158" s="13">
        <v>400</v>
      </c>
      <c r="CH158" s="13">
        <v>3</v>
      </c>
      <c r="CI158" s="14">
        <f t="shared" si="56"/>
        <v>0.12</v>
      </c>
      <c r="CJ158" s="13"/>
      <c r="CK158" s="14"/>
      <c r="CL158" s="41"/>
      <c r="CR158" s="7" t="s">
        <v>118</v>
      </c>
      <c r="CS158" s="6">
        <f>SUM(CS150,CQ95:CQ97,CQ49:CQ52)</f>
        <v>1979</v>
      </c>
      <c r="CT158" s="7">
        <f>SUM(CT150,CR95:CR97,CR49:CR52)</f>
        <v>11.554399999999999</v>
      </c>
      <c r="DA158" s="7" t="s">
        <v>148</v>
      </c>
      <c r="DB158" s="6">
        <f>SUM(DB148+DB76)</f>
        <v>208</v>
      </c>
      <c r="DC158" s="5">
        <f>SUM(DC148+DC76)</f>
        <v>7.0949999999999989</v>
      </c>
      <c r="DF158" s="8" t="s">
        <v>193</v>
      </c>
    </row>
    <row r="159" spans="2:117" ht="16.5" thickBot="1" x14ac:dyDescent="0.3">
      <c r="B159" s="13">
        <v>15</v>
      </c>
      <c r="C159" s="13">
        <v>20</v>
      </c>
      <c r="D159" s="13">
        <v>400</v>
      </c>
      <c r="E159" s="13">
        <v>4</v>
      </c>
      <c r="F159" s="20">
        <f t="shared" si="62"/>
        <v>0.48</v>
      </c>
      <c r="G159" s="13"/>
      <c r="H159" s="14"/>
      <c r="I159" s="13"/>
      <c r="K159" s="13">
        <v>3.5</v>
      </c>
      <c r="L159" s="13">
        <v>15</v>
      </c>
      <c r="M159" s="13">
        <v>400</v>
      </c>
      <c r="N159" s="13">
        <v>14</v>
      </c>
      <c r="O159" s="14">
        <f t="shared" si="60"/>
        <v>0.29399999999999998</v>
      </c>
      <c r="P159" s="13"/>
      <c r="Q159" s="14"/>
      <c r="R159" s="13"/>
      <c r="T159" s="25"/>
      <c r="U159" s="25"/>
      <c r="V159" s="25"/>
      <c r="W159" s="25"/>
      <c r="X159" s="25"/>
      <c r="Y159" s="225" t="s">
        <v>60</v>
      </c>
      <c r="Z159" s="225"/>
      <c r="AA159" s="225"/>
      <c r="AC159" s="13">
        <v>2.2000000000000002</v>
      </c>
      <c r="AD159" s="13">
        <v>23</v>
      </c>
      <c r="AE159" s="13">
        <v>400</v>
      </c>
      <c r="AF159" s="13">
        <v>1</v>
      </c>
      <c r="AG159" s="14">
        <f t="shared" si="59"/>
        <v>2.0240000000000001E-2</v>
      </c>
      <c r="AH159" s="13"/>
      <c r="AI159" s="14"/>
      <c r="AJ159" s="13"/>
      <c r="AL159" s="13">
        <v>8</v>
      </c>
      <c r="AM159" s="13">
        <v>15</v>
      </c>
      <c r="AN159" s="13">
        <v>400</v>
      </c>
      <c r="AO159" s="13">
        <v>2</v>
      </c>
      <c r="AP159" s="14">
        <f t="shared" si="54"/>
        <v>9.6000000000000002E-2</v>
      </c>
      <c r="AQ159" s="13"/>
      <c r="AR159" s="14"/>
      <c r="AS159" s="13"/>
      <c r="AU159" s="13">
        <v>10</v>
      </c>
      <c r="AV159" s="13">
        <v>30</v>
      </c>
      <c r="AW159" s="13">
        <v>400</v>
      </c>
      <c r="AX159" s="13">
        <v>2</v>
      </c>
      <c r="AY159" s="14">
        <f t="shared" si="63"/>
        <v>0.24</v>
      </c>
      <c r="AZ159" s="13"/>
      <c r="BA159" s="14"/>
      <c r="BB159" s="13"/>
      <c r="BD159" s="13">
        <v>13</v>
      </c>
      <c r="BE159" s="13">
        <v>23</v>
      </c>
      <c r="BF159" s="13">
        <v>400</v>
      </c>
      <c r="BG159" s="13">
        <v>1</v>
      </c>
      <c r="BH159" s="14">
        <f t="shared" si="55"/>
        <v>0.1196</v>
      </c>
      <c r="BI159" s="13"/>
      <c r="BJ159" s="14"/>
      <c r="BK159" s="13"/>
      <c r="BM159" s="57">
        <v>5</v>
      </c>
      <c r="BN159" s="57">
        <v>7</v>
      </c>
      <c r="BO159" s="57">
        <v>400</v>
      </c>
      <c r="BP159" s="57">
        <v>4</v>
      </c>
      <c r="BQ159" s="156">
        <f>BM159*BN159*BO159*BP159/1000000</f>
        <v>5.6000000000000001E-2</v>
      </c>
      <c r="BR159" s="159">
        <f>SUM(BP149:BP159)</f>
        <v>63</v>
      </c>
      <c r="BS159" s="172">
        <f>SUM(BQ149:BQ159)</f>
        <v>0.55279999999999996</v>
      </c>
      <c r="BT159" s="140" t="s">
        <v>21</v>
      </c>
      <c r="BV159" s="13">
        <v>1.7</v>
      </c>
      <c r="BW159" s="13">
        <v>10</v>
      </c>
      <c r="BX159" s="13">
        <v>400</v>
      </c>
      <c r="BY159" s="13">
        <v>3</v>
      </c>
      <c r="BZ159" s="14">
        <f t="shared" si="53"/>
        <v>2.0400000000000001E-2</v>
      </c>
      <c r="CA159" s="13"/>
      <c r="CB159" s="14"/>
      <c r="CC159" s="13"/>
      <c r="CE159" s="13">
        <v>7</v>
      </c>
      <c r="CF159" s="13">
        <v>10</v>
      </c>
      <c r="CG159" s="13">
        <v>400</v>
      </c>
      <c r="CH159" s="13">
        <v>3</v>
      </c>
      <c r="CI159" s="14">
        <f t="shared" si="56"/>
        <v>8.4000000000000005E-2</v>
      </c>
      <c r="CJ159" s="13"/>
      <c r="CK159" s="14"/>
      <c r="CL159" s="41"/>
      <c r="CR159" s="7" t="s">
        <v>119</v>
      </c>
      <c r="CS159" s="6">
        <f>SUM(CS146,CQ62:CQ94,CQ8:CQ48)</f>
        <v>680</v>
      </c>
      <c r="CT159" s="7">
        <f>SUM(CT146,CR62:CR94,CR8:CR48)</f>
        <v>22.050359999999998</v>
      </c>
      <c r="DA159" s="4"/>
      <c r="DB159" s="3">
        <f>SUM(DB155:DB158)</f>
        <v>2207</v>
      </c>
      <c r="DC159" s="53">
        <f>SUM(DC155:DC158)</f>
        <v>34.760820000000002</v>
      </c>
      <c r="DF159" s="4" t="s">
        <v>24</v>
      </c>
      <c r="DG159" s="4" t="s">
        <v>0</v>
      </c>
      <c r="DH159" s="6">
        <f>SUM(DI49)</f>
        <v>562</v>
      </c>
      <c r="DI159" s="5">
        <f>SUM(DJ49)</f>
        <v>14.049799999999996</v>
      </c>
      <c r="DJ159" s="7" t="s">
        <v>23</v>
      </c>
      <c r="DK159" s="6">
        <f>SUM(DK156+DK104+DK107+DK49)</f>
        <v>1830</v>
      </c>
      <c r="DL159" s="7">
        <f>SUM(DL156+DL104+DL107+DL49)</f>
        <v>35.866799999999998</v>
      </c>
    </row>
    <row r="160" spans="2:117" ht="16.5" thickTop="1" x14ac:dyDescent="0.25">
      <c r="B160" s="13">
        <v>15</v>
      </c>
      <c r="C160" s="13">
        <v>20</v>
      </c>
      <c r="D160" s="13">
        <v>400</v>
      </c>
      <c r="E160" s="13">
        <v>2</v>
      </c>
      <c r="F160" s="20">
        <f t="shared" si="62"/>
        <v>0.24</v>
      </c>
      <c r="G160" s="13"/>
      <c r="H160" s="14"/>
      <c r="I160" s="13"/>
      <c r="K160" s="13">
        <v>3.5</v>
      </c>
      <c r="L160" s="13">
        <v>13</v>
      </c>
      <c r="M160" s="13">
        <v>400</v>
      </c>
      <c r="N160" s="13">
        <v>13</v>
      </c>
      <c r="O160" s="14">
        <f t="shared" si="60"/>
        <v>0.2366</v>
      </c>
      <c r="P160" s="13"/>
      <c r="Q160" s="14"/>
      <c r="R160" s="13"/>
      <c r="T160" s="226" t="s">
        <v>13</v>
      </c>
      <c r="U160" s="227"/>
      <c r="V160" s="228"/>
      <c r="W160" s="227" t="s">
        <v>12</v>
      </c>
      <c r="X160" s="228"/>
      <c r="Y160" s="227" t="s">
        <v>12</v>
      </c>
      <c r="Z160" s="228"/>
      <c r="AA160" s="229" t="s">
        <v>11</v>
      </c>
      <c r="AC160" s="13">
        <v>2.2000000000000002</v>
      </c>
      <c r="AD160" s="13">
        <v>20</v>
      </c>
      <c r="AE160" s="13">
        <v>400</v>
      </c>
      <c r="AF160" s="13">
        <v>2</v>
      </c>
      <c r="AG160" s="14">
        <f t="shared" si="59"/>
        <v>3.5200000000000002E-2</v>
      </c>
      <c r="AH160" s="13"/>
      <c r="AI160" s="14"/>
      <c r="AJ160" s="13"/>
      <c r="AL160" s="13">
        <v>7</v>
      </c>
      <c r="AM160" s="13">
        <v>13</v>
      </c>
      <c r="AN160" s="13">
        <v>400</v>
      </c>
      <c r="AO160" s="13">
        <v>2</v>
      </c>
      <c r="AP160" s="14">
        <f t="shared" si="54"/>
        <v>7.2800000000000004E-2</v>
      </c>
      <c r="AQ160" s="13"/>
      <c r="AR160" s="14"/>
      <c r="AS160" s="13"/>
      <c r="AU160" s="13">
        <v>15</v>
      </c>
      <c r="AV160" s="13">
        <v>25</v>
      </c>
      <c r="AW160" s="13">
        <v>400</v>
      </c>
      <c r="AX160" s="13">
        <v>1</v>
      </c>
      <c r="AY160" s="14">
        <f t="shared" si="63"/>
        <v>0.15</v>
      </c>
      <c r="AZ160" s="13"/>
      <c r="BA160" s="14"/>
      <c r="BB160" s="13"/>
      <c r="BD160" s="13">
        <v>13</v>
      </c>
      <c r="BE160" s="13">
        <v>15</v>
      </c>
      <c r="BF160" s="13">
        <v>400</v>
      </c>
      <c r="BG160" s="13">
        <v>1</v>
      </c>
      <c r="BH160" s="14">
        <f t="shared" si="55"/>
        <v>7.8E-2</v>
      </c>
      <c r="BI160" s="13"/>
      <c r="BJ160" s="14"/>
      <c r="BK160" s="13"/>
      <c r="BM160" s="13">
        <v>13</v>
      </c>
      <c r="BN160" s="13">
        <v>30</v>
      </c>
      <c r="BO160" s="13">
        <v>400</v>
      </c>
      <c r="BP160" s="13">
        <v>4</v>
      </c>
      <c r="BQ160" s="14">
        <f t="shared" ref="BQ160:BQ205" si="64">BM160*BN160*BO160*BP160/1000000</f>
        <v>0.624</v>
      </c>
      <c r="BR160" s="13"/>
      <c r="BS160" s="14"/>
      <c r="BT160" s="13"/>
      <c r="BV160" s="13">
        <v>10</v>
      </c>
      <c r="BW160" s="13">
        <v>10</v>
      </c>
      <c r="BX160" s="13">
        <v>400</v>
      </c>
      <c r="BY160" s="13">
        <v>2</v>
      </c>
      <c r="BZ160" s="14">
        <f t="shared" si="53"/>
        <v>0.08</v>
      </c>
      <c r="CA160" s="13"/>
      <c r="CB160" s="14"/>
      <c r="CC160" s="13"/>
      <c r="CE160" s="13">
        <v>7</v>
      </c>
      <c r="CF160" s="13">
        <v>13</v>
      </c>
      <c r="CG160" s="13">
        <v>400</v>
      </c>
      <c r="CH160" s="13">
        <v>1</v>
      </c>
      <c r="CI160" s="14">
        <f t="shared" si="56"/>
        <v>3.6400000000000002E-2</v>
      </c>
      <c r="CJ160" s="13"/>
      <c r="CK160" s="14"/>
      <c r="CL160" s="41"/>
      <c r="CR160" s="7" t="s">
        <v>148</v>
      </c>
      <c r="CS160" s="6">
        <f>SUM(CS125)</f>
        <v>75</v>
      </c>
      <c r="CT160" s="7">
        <f>SUM(CT125)</f>
        <v>2.8414999999999999</v>
      </c>
      <c r="DF160" s="4" t="s">
        <v>22</v>
      </c>
      <c r="DG160" s="4" t="s">
        <v>0</v>
      </c>
      <c r="DH160" s="6">
        <f>SUM(DI108)</f>
        <v>427</v>
      </c>
      <c r="DI160" s="5">
        <f>SUM(DJ108)</f>
        <v>12.21</v>
      </c>
      <c r="DJ160" s="7" t="s">
        <v>21</v>
      </c>
      <c r="DK160" s="6">
        <f>SUM(DK76)</f>
        <v>91</v>
      </c>
      <c r="DL160" s="7">
        <f>SUM(DL76)</f>
        <v>2.8666000000000005</v>
      </c>
    </row>
    <row r="161" spans="2:117" ht="16.5" thickBot="1" x14ac:dyDescent="0.3">
      <c r="B161" s="13">
        <v>15</v>
      </c>
      <c r="C161" s="13">
        <v>15</v>
      </c>
      <c r="D161" s="13">
        <v>400</v>
      </c>
      <c r="E161" s="13">
        <v>1</v>
      </c>
      <c r="F161" s="20">
        <f t="shared" si="62"/>
        <v>0.09</v>
      </c>
      <c r="G161" s="13">
        <f>SUM(E154:E161)</f>
        <v>25</v>
      </c>
      <c r="H161" s="14">
        <f>SUM(F154:F161)</f>
        <v>3.51</v>
      </c>
      <c r="I161" s="13"/>
      <c r="K161" s="13">
        <v>3.5</v>
      </c>
      <c r="L161" s="13">
        <v>10</v>
      </c>
      <c r="M161" s="13">
        <v>400</v>
      </c>
      <c r="N161" s="13">
        <v>7</v>
      </c>
      <c r="O161" s="14">
        <f t="shared" si="60"/>
        <v>9.8000000000000004E-2</v>
      </c>
      <c r="P161" s="13">
        <f>SUM(N157:N161)</f>
        <v>41</v>
      </c>
      <c r="Q161" s="14">
        <f>SUM(O157:O161)</f>
        <v>0.81059999999999999</v>
      </c>
      <c r="R161" s="13"/>
      <c r="T161" s="24" t="s">
        <v>10</v>
      </c>
      <c r="U161" s="23" t="s">
        <v>9</v>
      </c>
      <c r="V161" s="23" t="s">
        <v>8</v>
      </c>
      <c r="W161" s="22" t="s">
        <v>7</v>
      </c>
      <c r="X161" s="21" t="s">
        <v>6</v>
      </c>
      <c r="Y161" s="22" t="s">
        <v>7</v>
      </c>
      <c r="Z161" s="21" t="s">
        <v>6</v>
      </c>
      <c r="AA161" s="230"/>
      <c r="AC161" s="13">
        <v>2.2000000000000002</v>
      </c>
      <c r="AD161" s="13">
        <v>15</v>
      </c>
      <c r="AE161" s="13">
        <v>400</v>
      </c>
      <c r="AF161" s="13">
        <v>6</v>
      </c>
      <c r="AG161" s="14">
        <f t="shared" si="59"/>
        <v>7.9200000000000007E-2</v>
      </c>
      <c r="AH161" s="13"/>
      <c r="AI161" s="14"/>
      <c r="AJ161" s="13"/>
      <c r="AL161" s="13">
        <v>10</v>
      </c>
      <c r="AM161" s="13">
        <v>28</v>
      </c>
      <c r="AN161" s="13">
        <v>400</v>
      </c>
      <c r="AO161" s="13">
        <v>6</v>
      </c>
      <c r="AP161" s="14">
        <f t="shared" si="54"/>
        <v>0.67200000000000004</v>
      </c>
      <c r="AQ161" s="13"/>
      <c r="AR161" s="14"/>
      <c r="AS161" s="13"/>
      <c r="AU161" s="13">
        <v>12</v>
      </c>
      <c r="AV161" s="13">
        <v>25</v>
      </c>
      <c r="AW161" s="13">
        <v>400</v>
      </c>
      <c r="AX161" s="13">
        <v>2</v>
      </c>
      <c r="AY161" s="14">
        <f t="shared" si="63"/>
        <v>0.24</v>
      </c>
      <c r="AZ161" s="13"/>
      <c r="BA161" s="14"/>
      <c r="BB161" s="13"/>
      <c r="BD161" s="13">
        <v>2.2000000000000002</v>
      </c>
      <c r="BE161" s="13">
        <v>15</v>
      </c>
      <c r="BF161" s="13">
        <v>400</v>
      </c>
      <c r="BG161" s="13">
        <v>6</v>
      </c>
      <c r="BH161" s="14">
        <f t="shared" si="55"/>
        <v>7.9200000000000007E-2</v>
      </c>
      <c r="BI161" s="13"/>
      <c r="BJ161" s="14"/>
      <c r="BK161" s="13"/>
      <c r="BM161" s="13">
        <v>15</v>
      </c>
      <c r="BN161" s="13">
        <v>25</v>
      </c>
      <c r="BO161" s="13">
        <v>400</v>
      </c>
      <c r="BP161" s="13">
        <v>8</v>
      </c>
      <c r="BQ161" s="14">
        <f t="shared" si="64"/>
        <v>1.2</v>
      </c>
      <c r="BR161" s="13"/>
      <c r="BS161" s="14"/>
      <c r="BT161" s="13"/>
      <c r="BV161" s="13">
        <v>8</v>
      </c>
      <c r="BW161" s="13">
        <v>10</v>
      </c>
      <c r="BX161" s="13">
        <v>400</v>
      </c>
      <c r="BY161" s="13">
        <v>1</v>
      </c>
      <c r="BZ161" s="14">
        <f t="shared" si="53"/>
        <v>3.2000000000000001E-2</v>
      </c>
      <c r="CA161" s="13"/>
      <c r="CB161" s="14"/>
      <c r="CC161" s="13"/>
      <c r="CE161" s="13">
        <v>8</v>
      </c>
      <c r="CF161" s="13">
        <v>10</v>
      </c>
      <c r="CG161" s="13">
        <v>400</v>
      </c>
      <c r="CH161" s="13">
        <v>3</v>
      </c>
      <c r="CI161" s="14">
        <f t="shared" si="56"/>
        <v>9.6000000000000002E-2</v>
      </c>
      <c r="CJ161" s="13"/>
      <c r="CK161" s="14"/>
      <c r="CL161" s="41"/>
      <c r="CR161" s="4"/>
      <c r="CS161" s="3">
        <f>SUM(CS158:CS159)</f>
        <v>2659</v>
      </c>
      <c r="CT161" s="53">
        <f>SUM(CT158:CT159)</f>
        <v>33.604759999999999</v>
      </c>
      <c r="CW161" s="231" t="s">
        <v>19</v>
      </c>
      <c r="CX161" s="231"/>
      <c r="CY161" s="231"/>
      <c r="CZ161" s="231"/>
      <c r="DA161" s="231"/>
      <c r="DB161" s="231"/>
      <c r="DC161" s="231"/>
      <c r="DD161" s="231"/>
      <c r="DF161" s="4" t="s">
        <v>20</v>
      </c>
      <c r="DG161" s="4" t="s">
        <v>0</v>
      </c>
      <c r="DH161" s="6">
        <f>SUM(DI156)</f>
        <v>932</v>
      </c>
      <c r="DI161" s="5">
        <f>SUM(DJ156)</f>
        <v>12.473599999999998</v>
      </c>
      <c r="DJ161" s="4"/>
      <c r="DK161" s="3">
        <f>SUM(DK159:DK160)</f>
        <v>1921</v>
      </c>
      <c r="DL161" s="53">
        <f>SUM(DL159:DL160)</f>
        <v>38.733399999999996</v>
      </c>
    </row>
    <row r="162" spans="2:117" ht="17.25" thickTop="1" thickBot="1" x14ac:dyDescent="0.3">
      <c r="B162" s="13">
        <v>13</v>
      </c>
      <c r="C162" s="13">
        <v>20</v>
      </c>
      <c r="D162" s="13">
        <v>400</v>
      </c>
      <c r="E162" s="13">
        <v>1</v>
      </c>
      <c r="F162" s="20">
        <f t="shared" si="62"/>
        <v>0.104</v>
      </c>
      <c r="G162" s="13">
        <f>SUM(E162)</f>
        <v>1</v>
      </c>
      <c r="H162" s="14">
        <f>SUM(F162)</f>
        <v>0.104</v>
      </c>
      <c r="I162" s="13"/>
      <c r="K162" s="13">
        <v>2.2000000000000002</v>
      </c>
      <c r="L162" s="13">
        <v>20</v>
      </c>
      <c r="M162" s="13">
        <v>400</v>
      </c>
      <c r="N162" s="13">
        <v>4</v>
      </c>
      <c r="O162" s="14">
        <f t="shared" si="60"/>
        <v>7.0400000000000004E-2</v>
      </c>
      <c r="P162" s="13"/>
      <c r="Q162" s="14"/>
      <c r="R162" s="13"/>
      <c r="T162" s="13">
        <v>15</v>
      </c>
      <c r="U162" s="13">
        <v>25</v>
      </c>
      <c r="V162" s="13">
        <v>400</v>
      </c>
      <c r="W162" s="13">
        <v>6</v>
      </c>
      <c r="X162" s="14">
        <f t="shared" ref="X162:X200" si="65">T162*U162*V162*W162/1000000</f>
        <v>0.9</v>
      </c>
      <c r="Y162" s="13"/>
      <c r="Z162" s="14"/>
      <c r="AA162" s="13"/>
      <c r="AC162" s="13">
        <v>2.2000000000000002</v>
      </c>
      <c r="AD162" s="13">
        <v>13</v>
      </c>
      <c r="AE162" s="13">
        <v>400</v>
      </c>
      <c r="AF162" s="13">
        <v>4</v>
      </c>
      <c r="AG162" s="14">
        <f t="shared" si="59"/>
        <v>4.5760000000000002E-2</v>
      </c>
      <c r="AH162" s="13"/>
      <c r="AI162" s="14"/>
      <c r="AJ162" s="13"/>
      <c r="AL162" s="13">
        <v>2.2000000000000002</v>
      </c>
      <c r="AM162" s="13">
        <v>20</v>
      </c>
      <c r="AN162" s="13">
        <v>400</v>
      </c>
      <c r="AO162" s="13">
        <v>2</v>
      </c>
      <c r="AP162" s="14">
        <f t="shared" si="54"/>
        <v>3.5200000000000002E-2</v>
      </c>
      <c r="AQ162" s="13"/>
      <c r="AR162" s="14"/>
      <c r="AS162" s="13"/>
      <c r="AU162" s="13">
        <v>10</v>
      </c>
      <c r="AV162" s="13">
        <v>25</v>
      </c>
      <c r="AW162" s="13">
        <v>400</v>
      </c>
      <c r="AX162" s="13">
        <v>3</v>
      </c>
      <c r="AY162" s="14">
        <f t="shared" si="63"/>
        <v>0.3</v>
      </c>
      <c r="AZ162" s="13"/>
      <c r="BA162" s="14"/>
      <c r="BB162" s="13"/>
      <c r="BD162" s="13">
        <v>3.5</v>
      </c>
      <c r="BE162" s="13">
        <v>15</v>
      </c>
      <c r="BF162" s="13">
        <v>400</v>
      </c>
      <c r="BG162" s="13">
        <v>4</v>
      </c>
      <c r="BH162" s="14">
        <f t="shared" si="55"/>
        <v>8.4000000000000005E-2</v>
      </c>
      <c r="BI162" s="13"/>
      <c r="BJ162" s="14"/>
      <c r="BK162" s="13"/>
      <c r="BM162" s="13">
        <v>13</v>
      </c>
      <c r="BN162" s="13">
        <v>25</v>
      </c>
      <c r="BO162" s="13">
        <v>400</v>
      </c>
      <c r="BP162" s="13">
        <v>3</v>
      </c>
      <c r="BQ162" s="14">
        <f t="shared" si="64"/>
        <v>0.39</v>
      </c>
      <c r="BR162" s="13"/>
      <c r="BS162" s="14"/>
      <c r="BT162" s="13"/>
      <c r="BV162" s="13">
        <v>4.5</v>
      </c>
      <c r="BW162" s="13">
        <v>13</v>
      </c>
      <c r="BX162" s="13">
        <v>400</v>
      </c>
      <c r="BY162" s="13">
        <v>11</v>
      </c>
      <c r="BZ162" s="14">
        <f t="shared" si="53"/>
        <v>0.25740000000000002</v>
      </c>
      <c r="CA162" s="13"/>
      <c r="CB162" s="14"/>
      <c r="CC162" s="13"/>
      <c r="CE162" s="13">
        <v>2.2000000000000002</v>
      </c>
      <c r="CF162" s="13">
        <v>10</v>
      </c>
      <c r="CG162" s="13">
        <v>400</v>
      </c>
      <c r="CH162" s="13">
        <v>14</v>
      </c>
      <c r="CI162" s="14">
        <f t="shared" si="56"/>
        <v>0.1232</v>
      </c>
      <c r="CJ162" s="13"/>
      <c r="CK162" s="14"/>
      <c r="CL162" s="41"/>
      <c r="CW162" s="231"/>
      <c r="CX162" s="231"/>
      <c r="CY162" s="231"/>
      <c r="CZ162" s="231"/>
      <c r="DA162" s="231"/>
      <c r="DB162" s="231"/>
      <c r="DC162" s="231"/>
      <c r="DD162" s="231"/>
      <c r="DF162" s="4"/>
      <c r="DG162" s="4"/>
      <c r="DH162" s="30">
        <f>SUM(DH159:DH161)</f>
        <v>1921</v>
      </c>
      <c r="DI162" s="29">
        <f>SUM(DI159:DI161)</f>
        <v>38.733399999999996</v>
      </c>
    </row>
    <row r="163" spans="2:117" ht="16.5" thickTop="1" x14ac:dyDescent="0.25">
      <c r="B163" s="13">
        <v>10</v>
      </c>
      <c r="C163" s="13">
        <v>30</v>
      </c>
      <c r="D163" s="13">
        <v>400</v>
      </c>
      <c r="E163" s="13">
        <v>6</v>
      </c>
      <c r="F163" s="20">
        <f t="shared" si="62"/>
        <v>0.72</v>
      </c>
      <c r="G163" s="13"/>
      <c r="H163" s="14"/>
      <c r="I163" s="13"/>
      <c r="K163" s="13">
        <v>2.2000000000000002</v>
      </c>
      <c r="L163" s="13">
        <v>18</v>
      </c>
      <c r="M163" s="13">
        <v>400</v>
      </c>
      <c r="N163" s="13">
        <v>6</v>
      </c>
      <c r="O163" s="14">
        <f t="shared" si="60"/>
        <v>9.5039999999999999E-2</v>
      </c>
      <c r="P163" s="13"/>
      <c r="Q163" s="14"/>
      <c r="R163" s="13"/>
      <c r="T163" s="13">
        <v>15</v>
      </c>
      <c r="U163" s="13">
        <v>20</v>
      </c>
      <c r="V163" s="13">
        <v>400</v>
      </c>
      <c r="W163" s="13">
        <v>1</v>
      </c>
      <c r="X163" s="14">
        <f t="shared" si="65"/>
        <v>0.12</v>
      </c>
      <c r="Y163" s="13"/>
      <c r="Z163" s="14"/>
      <c r="AA163" s="13"/>
      <c r="AC163" s="13">
        <v>2.2000000000000002</v>
      </c>
      <c r="AD163" s="13">
        <v>10</v>
      </c>
      <c r="AE163" s="13">
        <v>400</v>
      </c>
      <c r="AF163" s="13">
        <v>24</v>
      </c>
      <c r="AG163" s="14">
        <f t="shared" si="59"/>
        <v>0.2112</v>
      </c>
      <c r="AH163" s="13">
        <f>SUM(AF159:AF163)</f>
        <v>37</v>
      </c>
      <c r="AI163" s="14">
        <f>SUM(AG159:AG163)</f>
        <v>0.3916</v>
      </c>
      <c r="AJ163" s="13"/>
      <c r="AL163" s="13">
        <v>7</v>
      </c>
      <c r="AM163" s="13">
        <v>23</v>
      </c>
      <c r="AN163" s="13">
        <v>400</v>
      </c>
      <c r="AO163" s="13">
        <v>3</v>
      </c>
      <c r="AP163" s="14">
        <f t="shared" si="54"/>
        <v>0.19320000000000001</v>
      </c>
      <c r="AQ163" s="13"/>
      <c r="AR163" s="14"/>
      <c r="AS163" s="13"/>
      <c r="AU163" s="13">
        <v>3</v>
      </c>
      <c r="AV163" s="13">
        <v>27</v>
      </c>
      <c r="AW163" s="13">
        <v>400</v>
      </c>
      <c r="AX163" s="13">
        <v>1</v>
      </c>
      <c r="AY163" s="14">
        <f t="shared" si="63"/>
        <v>3.2399999999999998E-2</v>
      </c>
      <c r="AZ163" s="13"/>
      <c r="BA163" s="14"/>
      <c r="BB163" s="13"/>
      <c r="BD163" s="13">
        <v>4.5</v>
      </c>
      <c r="BE163" s="13">
        <v>15</v>
      </c>
      <c r="BF163" s="13">
        <v>400</v>
      </c>
      <c r="BG163" s="13">
        <v>6</v>
      </c>
      <c r="BH163" s="14">
        <f t="shared" si="55"/>
        <v>0.16200000000000001</v>
      </c>
      <c r="BI163" s="13"/>
      <c r="BJ163" s="14"/>
      <c r="BK163" s="13"/>
      <c r="BM163" s="13">
        <v>10</v>
      </c>
      <c r="BN163" s="13">
        <v>25</v>
      </c>
      <c r="BO163" s="13">
        <v>400</v>
      </c>
      <c r="BP163" s="13">
        <v>10</v>
      </c>
      <c r="BQ163" s="14">
        <f t="shared" si="64"/>
        <v>1</v>
      </c>
      <c r="BR163" s="13"/>
      <c r="BS163" s="14"/>
      <c r="BT163" s="13"/>
      <c r="BV163" s="13">
        <v>2.2000000000000002</v>
      </c>
      <c r="BW163" s="13">
        <v>13</v>
      </c>
      <c r="BX163" s="13">
        <v>400</v>
      </c>
      <c r="BY163" s="13">
        <v>5</v>
      </c>
      <c r="BZ163" s="14">
        <f t="shared" si="53"/>
        <v>5.7200000000000001E-2</v>
      </c>
      <c r="CA163" s="13"/>
      <c r="CB163" s="14"/>
      <c r="CC163" s="13"/>
      <c r="CE163" s="13">
        <v>4.5</v>
      </c>
      <c r="CF163" s="13">
        <v>10</v>
      </c>
      <c r="CG163" s="13">
        <v>400</v>
      </c>
      <c r="CH163" s="13">
        <v>17</v>
      </c>
      <c r="CI163" s="14">
        <f t="shared" si="56"/>
        <v>0.30599999999999999</v>
      </c>
      <c r="CJ163" s="13"/>
      <c r="CK163" s="14"/>
      <c r="CL163" s="41"/>
      <c r="CN163" s="231" t="s">
        <v>19</v>
      </c>
      <c r="CO163" s="231"/>
      <c r="CP163" s="231"/>
      <c r="CQ163" s="231"/>
      <c r="CR163" s="231"/>
      <c r="CS163" s="231"/>
      <c r="CT163" s="231"/>
      <c r="CU163" s="231"/>
      <c r="CW163" s="28" t="s">
        <v>18</v>
      </c>
      <c r="CX163" s="27" t="s">
        <v>104</v>
      </c>
      <c r="CY163" s="26"/>
      <c r="CZ163" s="26"/>
      <c r="DA163" s="26"/>
      <c r="DB163" s="26"/>
      <c r="DC163" s="232" t="s">
        <v>180</v>
      </c>
      <c r="DD163" s="233"/>
      <c r="DJ163" s="7" t="s">
        <v>118</v>
      </c>
      <c r="DK163" s="6">
        <f>SUM(DK155+DK107+DK48)</f>
        <v>1283</v>
      </c>
      <c r="DL163" s="5">
        <f>SUM(DL155+DL107+DL48)</f>
        <v>9.9775999999999989</v>
      </c>
    </row>
    <row r="164" spans="2:117" ht="15.75" x14ac:dyDescent="0.25">
      <c r="B164" s="13">
        <v>10</v>
      </c>
      <c r="C164" s="13">
        <v>30</v>
      </c>
      <c r="D164" s="13">
        <v>400</v>
      </c>
      <c r="E164" s="13">
        <v>5</v>
      </c>
      <c r="F164" s="20">
        <f t="shared" si="62"/>
        <v>0.6</v>
      </c>
      <c r="G164" s="13"/>
      <c r="H164" s="14"/>
      <c r="I164" s="13"/>
      <c r="K164" s="13">
        <v>2.2000000000000002</v>
      </c>
      <c r="L164" s="13">
        <v>15</v>
      </c>
      <c r="M164" s="13">
        <v>400</v>
      </c>
      <c r="N164" s="13">
        <v>16</v>
      </c>
      <c r="O164" s="14">
        <f t="shared" si="60"/>
        <v>0.2112</v>
      </c>
      <c r="P164" s="13"/>
      <c r="Q164" s="14"/>
      <c r="R164" s="13"/>
      <c r="T164" s="13">
        <v>15</v>
      </c>
      <c r="U164" s="13">
        <v>18</v>
      </c>
      <c r="V164" s="13">
        <v>400</v>
      </c>
      <c r="W164" s="13">
        <v>5</v>
      </c>
      <c r="X164" s="14">
        <f t="shared" si="65"/>
        <v>0.54</v>
      </c>
      <c r="Y164" s="13"/>
      <c r="Z164" s="14"/>
      <c r="AA164" s="13"/>
      <c r="AC164" s="13">
        <v>1.7</v>
      </c>
      <c r="AD164" s="13">
        <v>18</v>
      </c>
      <c r="AE164" s="13">
        <v>400</v>
      </c>
      <c r="AF164" s="13">
        <v>1</v>
      </c>
      <c r="AG164" s="14">
        <f t="shared" si="59"/>
        <v>1.2239999999999999E-2</v>
      </c>
      <c r="AH164" s="13"/>
      <c r="AI164" s="14"/>
      <c r="AJ164" s="13"/>
      <c r="AL164" s="13">
        <v>8</v>
      </c>
      <c r="AM164" s="13">
        <v>23</v>
      </c>
      <c r="AN164" s="13">
        <v>400</v>
      </c>
      <c r="AO164" s="13">
        <v>1</v>
      </c>
      <c r="AP164" s="14">
        <f t="shared" si="54"/>
        <v>7.3599999999999999E-2</v>
      </c>
      <c r="AQ164" s="13"/>
      <c r="AR164" s="14"/>
      <c r="AS164" s="13"/>
      <c r="AU164" s="13">
        <v>17</v>
      </c>
      <c r="AV164" s="13">
        <v>20</v>
      </c>
      <c r="AW164" s="13">
        <v>400</v>
      </c>
      <c r="AX164" s="13">
        <v>1</v>
      </c>
      <c r="AY164" s="14">
        <f t="shared" si="63"/>
        <v>0.13600000000000001</v>
      </c>
      <c r="AZ164" s="13"/>
      <c r="BA164" s="14"/>
      <c r="BB164" s="13"/>
      <c r="BD164" s="13">
        <v>8</v>
      </c>
      <c r="BE164" s="13">
        <v>15</v>
      </c>
      <c r="BF164" s="13">
        <v>400</v>
      </c>
      <c r="BG164" s="13">
        <v>2</v>
      </c>
      <c r="BH164" s="14">
        <f t="shared" si="55"/>
        <v>9.6000000000000002E-2</v>
      </c>
      <c r="BI164" s="13"/>
      <c r="BJ164" s="14"/>
      <c r="BK164" s="13"/>
      <c r="BM164" s="13">
        <v>8</v>
      </c>
      <c r="BN164" s="13">
        <v>25</v>
      </c>
      <c r="BO164" s="13">
        <v>400</v>
      </c>
      <c r="BP164" s="13">
        <v>3</v>
      </c>
      <c r="BQ164" s="14">
        <f t="shared" si="64"/>
        <v>0.24</v>
      </c>
      <c r="BR164" s="13"/>
      <c r="BS164" s="14"/>
      <c r="BT164" s="13"/>
      <c r="BV164" s="13">
        <v>3.5</v>
      </c>
      <c r="BW164" s="13">
        <v>13</v>
      </c>
      <c r="BX164" s="13">
        <v>400</v>
      </c>
      <c r="BY164" s="13">
        <v>3</v>
      </c>
      <c r="BZ164" s="14">
        <f t="shared" si="53"/>
        <v>5.4600000000000003E-2</v>
      </c>
      <c r="CA164" s="13"/>
      <c r="CB164" s="14"/>
      <c r="CC164" s="13"/>
      <c r="CE164" s="122">
        <v>5</v>
      </c>
      <c r="CF164" s="122">
        <v>7</v>
      </c>
      <c r="CG164" s="122">
        <v>400</v>
      </c>
      <c r="CH164" s="122">
        <v>54</v>
      </c>
      <c r="CI164" s="123">
        <f t="shared" si="56"/>
        <v>0.75600000000000001</v>
      </c>
      <c r="CJ164" s="122"/>
      <c r="CK164" s="123"/>
      <c r="CL164" s="126"/>
      <c r="CN164" s="231"/>
      <c r="CO164" s="231"/>
      <c r="CP164" s="231"/>
      <c r="CQ164" s="231"/>
      <c r="CR164" s="231"/>
      <c r="CS164" s="231"/>
      <c r="CT164" s="231"/>
      <c r="CU164" s="231"/>
      <c r="CW164" s="28" t="s">
        <v>16</v>
      </c>
      <c r="CX164" s="27" t="s">
        <v>105</v>
      </c>
      <c r="CY164" s="26"/>
      <c r="CZ164" s="26"/>
      <c r="DA164" s="26"/>
      <c r="DB164" s="26"/>
      <c r="DC164" s="234"/>
      <c r="DD164" s="235"/>
      <c r="DJ164" s="7" t="s">
        <v>119</v>
      </c>
      <c r="DK164" s="6">
        <f>SUM(DK151+DK104+DK45)</f>
        <v>547</v>
      </c>
      <c r="DL164" s="5">
        <f>SUM(DL151+DL104+DL45)</f>
        <v>25.889199999999995</v>
      </c>
    </row>
    <row r="165" spans="2:117" ht="15.75" x14ac:dyDescent="0.25">
      <c r="B165" s="13">
        <v>10</v>
      </c>
      <c r="C165" s="13">
        <v>25</v>
      </c>
      <c r="D165" s="13">
        <v>400</v>
      </c>
      <c r="E165" s="13">
        <v>9</v>
      </c>
      <c r="F165" s="20">
        <f t="shared" si="62"/>
        <v>0.9</v>
      </c>
      <c r="G165" s="13"/>
      <c r="H165" s="14"/>
      <c r="I165" s="13"/>
      <c r="K165" s="13">
        <v>2.2000000000000002</v>
      </c>
      <c r="L165" s="13">
        <v>13</v>
      </c>
      <c r="M165" s="13">
        <v>400</v>
      </c>
      <c r="N165" s="13">
        <v>15</v>
      </c>
      <c r="O165" s="14">
        <f t="shared" si="60"/>
        <v>0.1716</v>
      </c>
      <c r="P165" s="13"/>
      <c r="Q165" s="14"/>
      <c r="R165" s="13"/>
      <c r="T165" s="13">
        <v>15</v>
      </c>
      <c r="U165" s="13">
        <v>15</v>
      </c>
      <c r="V165" s="13">
        <v>400</v>
      </c>
      <c r="W165" s="13">
        <v>4</v>
      </c>
      <c r="X165" s="14">
        <f t="shared" si="65"/>
        <v>0.36</v>
      </c>
      <c r="Y165" s="13">
        <f>SUM(W162:W165)</f>
        <v>16</v>
      </c>
      <c r="Z165" s="14">
        <f>SUM(X162:X165)</f>
        <v>1.92</v>
      </c>
      <c r="AA165" s="13"/>
      <c r="AC165" s="13">
        <v>1.7</v>
      </c>
      <c r="AD165" s="13">
        <v>15</v>
      </c>
      <c r="AE165" s="13">
        <v>400</v>
      </c>
      <c r="AF165" s="13">
        <v>6</v>
      </c>
      <c r="AG165" s="14">
        <f t="shared" si="59"/>
        <v>6.1199999999999997E-2</v>
      </c>
      <c r="AH165" s="13"/>
      <c r="AI165" s="14"/>
      <c r="AJ165" s="13"/>
      <c r="AL165" s="13">
        <v>7</v>
      </c>
      <c r="AM165" s="13">
        <v>28</v>
      </c>
      <c r="AN165" s="13">
        <v>400</v>
      </c>
      <c r="AO165" s="13">
        <v>2</v>
      </c>
      <c r="AP165" s="14">
        <f t="shared" si="54"/>
        <v>0.15679999999999999</v>
      </c>
      <c r="AQ165" s="13"/>
      <c r="AR165" s="14"/>
      <c r="AS165" s="13"/>
      <c r="AU165" s="13">
        <v>15</v>
      </c>
      <c r="AV165" s="13">
        <v>20</v>
      </c>
      <c r="AW165" s="13">
        <v>400</v>
      </c>
      <c r="AX165" s="13">
        <v>4</v>
      </c>
      <c r="AY165" s="14">
        <f t="shared" si="63"/>
        <v>0.48</v>
      </c>
      <c r="AZ165" s="13"/>
      <c r="BA165" s="14"/>
      <c r="BB165" s="13"/>
      <c r="BD165" s="13">
        <v>10</v>
      </c>
      <c r="BE165" s="13">
        <v>15</v>
      </c>
      <c r="BF165" s="13">
        <v>400</v>
      </c>
      <c r="BG165" s="13">
        <v>3</v>
      </c>
      <c r="BH165" s="14">
        <f t="shared" si="55"/>
        <v>0.18</v>
      </c>
      <c r="BI165" s="13"/>
      <c r="BJ165" s="14"/>
      <c r="BK165" s="13"/>
      <c r="BM165" s="13">
        <v>4.5</v>
      </c>
      <c r="BN165" s="13">
        <v>25</v>
      </c>
      <c r="BO165" s="13">
        <v>400</v>
      </c>
      <c r="BP165" s="13">
        <v>1</v>
      </c>
      <c r="BQ165" s="14">
        <f t="shared" si="64"/>
        <v>4.4999999999999998E-2</v>
      </c>
      <c r="BR165" s="13"/>
      <c r="BS165" s="14"/>
      <c r="BT165" s="41"/>
      <c r="BV165" s="13">
        <v>10</v>
      </c>
      <c r="BW165" s="13">
        <v>13</v>
      </c>
      <c r="BX165" s="13">
        <v>400</v>
      </c>
      <c r="BY165" s="13">
        <v>1</v>
      </c>
      <c r="BZ165" s="14">
        <f t="shared" si="53"/>
        <v>5.1999999999999998E-2</v>
      </c>
      <c r="CA165" s="13"/>
      <c r="CB165" s="14"/>
      <c r="CC165" s="13"/>
      <c r="CE165" s="122">
        <v>4</v>
      </c>
      <c r="CF165" s="122">
        <v>6</v>
      </c>
      <c r="CG165" s="122">
        <v>400</v>
      </c>
      <c r="CH165" s="122">
        <v>12</v>
      </c>
      <c r="CI165" s="123">
        <f t="shared" si="56"/>
        <v>0.1152</v>
      </c>
      <c r="CJ165" s="122"/>
      <c r="CK165" s="123"/>
      <c r="CL165" s="126"/>
      <c r="CN165" s="28" t="s">
        <v>18</v>
      </c>
      <c r="CO165" s="27" t="s">
        <v>74</v>
      </c>
      <c r="CP165" s="26"/>
      <c r="CQ165" s="26"/>
      <c r="CR165" s="26"/>
      <c r="CS165" s="26"/>
      <c r="CT165" s="232" t="s">
        <v>168</v>
      </c>
      <c r="CU165" s="233"/>
      <c r="CW165" s="43"/>
      <c r="CX165" s="25"/>
      <c r="CY165" s="25"/>
      <c r="CZ165" s="25"/>
      <c r="DA165" s="25"/>
      <c r="DB165" s="225" t="s">
        <v>181</v>
      </c>
      <c r="DC165" s="225"/>
      <c r="DD165" s="225"/>
      <c r="DJ165" s="7" t="s">
        <v>149</v>
      </c>
      <c r="DK165" s="6">
        <f>SUM(DK76)</f>
        <v>91</v>
      </c>
      <c r="DL165" s="5">
        <f>SUM(DL76)</f>
        <v>2.8666000000000005</v>
      </c>
    </row>
    <row r="166" spans="2:117" ht="15.75" x14ac:dyDescent="0.25">
      <c r="B166" s="13">
        <v>10</v>
      </c>
      <c r="C166" s="13">
        <v>25</v>
      </c>
      <c r="D166" s="13">
        <v>400</v>
      </c>
      <c r="E166" s="13">
        <v>3</v>
      </c>
      <c r="F166" s="20">
        <f t="shared" si="62"/>
        <v>0.3</v>
      </c>
      <c r="G166" s="13"/>
      <c r="H166" s="14"/>
      <c r="I166" s="13"/>
      <c r="K166" s="13">
        <v>2.2000000000000002</v>
      </c>
      <c r="L166" s="13">
        <v>10</v>
      </c>
      <c r="M166" s="13">
        <v>400</v>
      </c>
      <c r="N166" s="13">
        <v>11</v>
      </c>
      <c r="O166" s="14">
        <f t="shared" si="60"/>
        <v>9.6799999999999997E-2</v>
      </c>
      <c r="P166" s="13">
        <f>SUM(N162:N166)</f>
        <v>52</v>
      </c>
      <c r="Q166" s="14">
        <f>SUM(O162:O166)</f>
        <v>0.64503999999999995</v>
      </c>
      <c r="R166" s="13"/>
      <c r="T166" s="13">
        <v>13</v>
      </c>
      <c r="U166" s="13">
        <v>30</v>
      </c>
      <c r="V166" s="13">
        <v>400</v>
      </c>
      <c r="W166" s="13">
        <v>3</v>
      </c>
      <c r="X166" s="14">
        <f t="shared" si="65"/>
        <v>0.46800000000000003</v>
      </c>
      <c r="Y166" s="13"/>
      <c r="Z166" s="14"/>
      <c r="AA166" s="13"/>
      <c r="AC166" s="13">
        <v>1.7</v>
      </c>
      <c r="AD166" s="13">
        <v>13</v>
      </c>
      <c r="AE166" s="13">
        <v>400</v>
      </c>
      <c r="AF166" s="13">
        <v>2</v>
      </c>
      <c r="AG166" s="14">
        <f t="shared" si="59"/>
        <v>1.7680000000000001E-2</v>
      </c>
      <c r="AH166" s="13"/>
      <c r="AI166" s="14"/>
      <c r="AJ166" s="13"/>
      <c r="AL166" s="13">
        <v>13</v>
      </c>
      <c r="AM166" s="13">
        <v>23</v>
      </c>
      <c r="AN166" s="13">
        <v>400</v>
      </c>
      <c r="AO166" s="13">
        <v>1</v>
      </c>
      <c r="AP166" s="14">
        <f t="shared" si="54"/>
        <v>0.1196</v>
      </c>
      <c r="AQ166" s="13"/>
      <c r="AR166" s="14"/>
      <c r="AS166" s="13"/>
      <c r="AU166" s="13">
        <v>12</v>
      </c>
      <c r="AV166" s="13">
        <v>20</v>
      </c>
      <c r="AW166" s="13">
        <v>400</v>
      </c>
      <c r="AX166" s="13">
        <v>3</v>
      </c>
      <c r="AY166" s="14">
        <f t="shared" si="63"/>
        <v>0.28799999999999998</v>
      </c>
      <c r="AZ166" s="13"/>
      <c r="BA166" s="14"/>
      <c r="BB166" s="13"/>
      <c r="BD166" s="13">
        <v>7</v>
      </c>
      <c r="BE166" s="13">
        <v>15</v>
      </c>
      <c r="BF166" s="13">
        <v>400</v>
      </c>
      <c r="BG166" s="13">
        <v>2</v>
      </c>
      <c r="BH166" s="14">
        <f t="shared" si="55"/>
        <v>8.4000000000000005E-2</v>
      </c>
      <c r="BI166" s="13"/>
      <c r="BJ166" s="14"/>
      <c r="BK166" s="13"/>
      <c r="BM166" s="13">
        <v>2.2000000000000002</v>
      </c>
      <c r="BN166" s="13">
        <v>25</v>
      </c>
      <c r="BO166" s="13">
        <v>400</v>
      </c>
      <c r="BP166" s="13">
        <v>1</v>
      </c>
      <c r="BQ166" s="14">
        <f t="shared" si="64"/>
        <v>2.2000000000000002E-2</v>
      </c>
      <c r="BR166" s="13"/>
      <c r="BS166" s="14"/>
      <c r="BT166" s="13"/>
      <c r="BV166" s="13">
        <v>7</v>
      </c>
      <c r="BW166" s="13">
        <v>13</v>
      </c>
      <c r="BX166" s="13">
        <v>400</v>
      </c>
      <c r="BY166" s="13">
        <v>2</v>
      </c>
      <c r="BZ166" s="14">
        <f t="shared" si="53"/>
        <v>7.2800000000000004E-2</v>
      </c>
      <c r="CA166" s="13"/>
      <c r="CB166" s="14"/>
      <c r="CC166" s="13"/>
      <c r="CE166" s="122">
        <v>3</v>
      </c>
      <c r="CF166" s="122">
        <v>5</v>
      </c>
      <c r="CG166" s="122">
        <v>400</v>
      </c>
      <c r="CH166" s="122">
        <v>80</v>
      </c>
      <c r="CI166" s="123">
        <f t="shared" si="56"/>
        <v>0.48</v>
      </c>
      <c r="CJ166" s="122"/>
      <c r="CK166" s="123"/>
      <c r="CL166" s="126"/>
      <c r="CN166" s="28" t="s">
        <v>16</v>
      </c>
      <c r="CO166" s="27" t="s">
        <v>170</v>
      </c>
      <c r="CP166" s="26"/>
      <c r="CQ166" s="26"/>
      <c r="CR166" s="26"/>
      <c r="CS166" s="26"/>
      <c r="CT166" s="234"/>
      <c r="CU166" s="235"/>
      <c r="CW166" s="226" t="s">
        <v>13</v>
      </c>
      <c r="CX166" s="227"/>
      <c r="CY166" s="228"/>
      <c r="CZ166" s="227" t="s">
        <v>12</v>
      </c>
      <c r="DA166" s="228"/>
      <c r="DB166" s="227" t="s">
        <v>12</v>
      </c>
      <c r="DC166" s="228"/>
      <c r="DD166" s="229" t="s">
        <v>11</v>
      </c>
      <c r="DJ166" s="7" t="s">
        <v>148</v>
      </c>
      <c r="DK166" s="6">
        <v>0</v>
      </c>
      <c r="DL166" s="5">
        <v>0</v>
      </c>
    </row>
    <row r="167" spans="2:117" ht="16.5" thickBot="1" x14ac:dyDescent="0.3">
      <c r="B167" s="13">
        <v>10</v>
      </c>
      <c r="C167" s="13">
        <v>20</v>
      </c>
      <c r="D167" s="13">
        <v>400</v>
      </c>
      <c r="E167" s="13">
        <v>5</v>
      </c>
      <c r="F167" s="20">
        <f t="shared" si="62"/>
        <v>0.4</v>
      </c>
      <c r="G167" s="13"/>
      <c r="H167" s="14"/>
      <c r="I167" s="13"/>
      <c r="K167" s="13">
        <v>1.7</v>
      </c>
      <c r="L167" s="13">
        <v>23</v>
      </c>
      <c r="M167" s="13">
        <v>400</v>
      </c>
      <c r="N167" s="13">
        <v>1</v>
      </c>
      <c r="O167" s="14">
        <f t="shared" si="60"/>
        <v>1.5640000000000001E-2</v>
      </c>
      <c r="P167" s="13"/>
      <c r="Q167" s="14"/>
      <c r="R167" s="13"/>
      <c r="T167" s="13">
        <v>13</v>
      </c>
      <c r="U167" s="13">
        <v>25</v>
      </c>
      <c r="V167" s="13">
        <v>400</v>
      </c>
      <c r="W167" s="13">
        <v>3</v>
      </c>
      <c r="X167" s="14">
        <f t="shared" si="65"/>
        <v>0.39</v>
      </c>
      <c r="Y167" s="13"/>
      <c r="Z167" s="14"/>
      <c r="AA167" s="13"/>
      <c r="AC167" s="13">
        <v>1.7</v>
      </c>
      <c r="AD167" s="13">
        <v>10</v>
      </c>
      <c r="AE167" s="13">
        <v>400</v>
      </c>
      <c r="AF167" s="13">
        <v>34</v>
      </c>
      <c r="AG167" s="14">
        <f t="shared" si="59"/>
        <v>0.23119999999999999</v>
      </c>
      <c r="AH167" s="13">
        <f>SUM(AF164:AF167)</f>
        <v>43</v>
      </c>
      <c r="AI167" s="14">
        <f>SUM(AG164:AG167)</f>
        <v>0.32232</v>
      </c>
      <c r="AJ167" s="13"/>
      <c r="AL167" s="13">
        <v>15</v>
      </c>
      <c r="AM167" s="13">
        <v>20</v>
      </c>
      <c r="AN167" s="13">
        <v>400</v>
      </c>
      <c r="AO167" s="13">
        <v>1</v>
      </c>
      <c r="AP167" s="14">
        <f t="shared" si="54"/>
        <v>0.12</v>
      </c>
      <c r="AQ167" s="13"/>
      <c r="AR167" s="14"/>
      <c r="AS167" s="13"/>
      <c r="AU167" s="13">
        <v>7</v>
      </c>
      <c r="AV167" s="13">
        <v>20</v>
      </c>
      <c r="AW167" s="13">
        <v>400</v>
      </c>
      <c r="AX167" s="13">
        <v>1</v>
      </c>
      <c r="AY167" s="14">
        <f t="shared" si="63"/>
        <v>5.6000000000000001E-2</v>
      </c>
      <c r="AZ167" s="13"/>
      <c r="BA167" s="14"/>
      <c r="BB167" s="13"/>
      <c r="BD167" s="13">
        <v>4.5</v>
      </c>
      <c r="BE167" s="13">
        <v>13</v>
      </c>
      <c r="BF167" s="13">
        <v>400</v>
      </c>
      <c r="BG167" s="13">
        <v>5</v>
      </c>
      <c r="BH167" s="14">
        <f t="shared" si="55"/>
        <v>0.11700000000000001</v>
      </c>
      <c r="BI167" s="13"/>
      <c r="BJ167" s="14"/>
      <c r="BK167" s="13"/>
      <c r="BM167" s="13">
        <v>15</v>
      </c>
      <c r="BN167" s="13">
        <v>20</v>
      </c>
      <c r="BO167" s="13">
        <v>400</v>
      </c>
      <c r="BP167" s="13">
        <v>5</v>
      </c>
      <c r="BQ167" s="14">
        <f t="shared" si="64"/>
        <v>0.6</v>
      </c>
      <c r="BR167" s="13"/>
      <c r="BS167" s="14"/>
      <c r="BT167" s="13"/>
      <c r="BV167" s="13">
        <v>2.2000000000000002</v>
      </c>
      <c r="BW167" s="13">
        <v>15</v>
      </c>
      <c r="BX167" s="13">
        <v>400</v>
      </c>
      <c r="BY167" s="13">
        <v>17</v>
      </c>
      <c r="BZ167" s="14">
        <f t="shared" si="53"/>
        <v>0.22439999999999999</v>
      </c>
      <c r="CA167" s="13"/>
      <c r="CB167" s="14"/>
      <c r="CC167" s="13"/>
      <c r="CE167" s="122">
        <v>2</v>
      </c>
      <c r="CF167" s="122">
        <v>3</v>
      </c>
      <c r="CG167" s="122">
        <v>400</v>
      </c>
      <c r="CH167" s="122">
        <v>125</v>
      </c>
      <c r="CI167" s="123">
        <f t="shared" si="56"/>
        <v>0.3</v>
      </c>
      <c r="CJ167" s="133">
        <f>SUM(CH143:CH167)</f>
        <v>358</v>
      </c>
      <c r="CK167" s="161">
        <f>SUM(CI143:CI167)</f>
        <v>6.2838000000000003</v>
      </c>
      <c r="CL167" s="126" t="s">
        <v>23</v>
      </c>
      <c r="CN167" s="43"/>
      <c r="CO167" s="25"/>
      <c r="CP167" s="25"/>
      <c r="CQ167" s="25"/>
      <c r="CR167" s="25"/>
      <c r="CS167" s="225" t="s">
        <v>171</v>
      </c>
      <c r="CT167" s="225"/>
      <c r="CU167" s="225"/>
      <c r="CW167" s="24" t="s">
        <v>10</v>
      </c>
      <c r="CX167" s="23" t="s">
        <v>9</v>
      </c>
      <c r="CY167" s="23" t="s">
        <v>8</v>
      </c>
      <c r="CZ167" s="22" t="s">
        <v>7</v>
      </c>
      <c r="DA167" s="21" t="s">
        <v>6</v>
      </c>
      <c r="DB167" s="22" t="s">
        <v>7</v>
      </c>
      <c r="DC167" s="21" t="s">
        <v>6</v>
      </c>
      <c r="DD167" s="230"/>
      <c r="DJ167" s="4"/>
      <c r="DK167" s="3">
        <f>SUM(DK163:DK166)</f>
        <v>1921</v>
      </c>
      <c r="DL167" s="53">
        <f>SUM(DL163:DL166)</f>
        <v>38.733399999999996</v>
      </c>
    </row>
    <row r="168" spans="2:117" ht="17.25" thickTop="1" thickBot="1" x14ac:dyDescent="0.3">
      <c r="B168" s="13">
        <v>10</v>
      </c>
      <c r="C168" s="13">
        <v>20</v>
      </c>
      <c r="D168" s="13">
        <v>400</v>
      </c>
      <c r="E168" s="13">
        <v>5</v>
      </c>
      <c r="F168" s="20">
        <f t="shared" si="62"/>
        <v>0.4</v>
      </c>
      <c r="G168" s="13"/>
      <c r="H168" s="14"/>
      <c r="I168" s="13"/>
      <c r="K168" s="13">
        <v>1.7</v>
      </c>
      <c r="L168" s="13">
        <v>20</v>
      </c>
      <c r="M168" s="13">
        <v>400</v>
      </c>
      <c r="N168" s="13">
        <v>2</v>
      </c>
      <c r="O168" s="14">
        <f t="shared" si="60"/>
        <v>2.7199999999999998E-2</v>
      </c>
      <c r="P168" s="13"/>
      <c r="Q168" s="14"/>
      <c r="R168" s="13"/>
      <c r="T168" s="13">
        <v>13</v>
      </c>
      <c r="U168" s="13">
        <v>23</v>
      </c>
      <c r="V168" s="13">
        <v>400</v>
      </c>
      <c r="W168" s="13">
        <v>6</v>
      </c>
      <c r="X168" s="14">
        <f t="shared" si="65"/>
        <v>0.71760000000000002</v>
      </c>
      <c r="Y168" s="13"/>
      <c r="Z168" s="14"/>
      <c r="AA168" s="13"/>
      <c r="AC168" s="237"/>
      <c r="AD168" s="237"/>
      <c r="AE168" s="238"/>
      <c r="AF168" s="17">
        <f>SUM(AF118:AF167)</f>
        <v>337</v>
      </c>
      <c r="AG168" s="32">
        <f>SUM(AG118:AG167)</f>
        <v>12.324720000000001</v>
      </c>
      <c r="AH168" s="17">
        <f>SUM(AH118:AH167)</f>
        <v>337</v>
      </c>
      <c r="AI168" s="32">
        <f>SUM(AI118:AI167)</f>
        <v>12.324720000000001</v>
      </c>
      <c r="AJ168" s="17"/>
      <c r="AL168" s="13">
        <v>13</v>
      </c>
      <c r="AM168" s="13">
        <v>25</v>
      </c>
      <c r="AN168" s="13">
        <v>400</v>
      </c>
      <c r="AO168" s="13">
        <v>1</v>
      </c>
      <c r="AP168" s="14">
        <f t="shared" si="54"/>
        <v>0.13</v>
      </c>
      <c r="AQ168" s="13">
        <f>SUM(AO124:AO168)</f>
        <v>312</v>
      </c>
      <c r="AR168" s="47">
        <f>SUM(AP124:AP168)</f>
        <v>9.1499199999999998</v>
      </c>
      <c r="AS168" s="41" t="s">
        <v>52</v>
      </c>
      <c r="AU168" s="13">
        <v>3</v>
      </c>
      <c r="AV168" s="13">
        <v>20</v>
      </c>
      <c r="AW168" s="13">
        <v>400</v>
      </c>
      <c r="AX168" s="13">
        <v>1</v>
      </c>
      <c r="AY168" s="14">
        <f t="shared" si="63"/>
        <v>2.4E-2</v>
      </c>
      <c r="AZ168" s="13"/>
      <c r="BA168" s="14"/>
      <c r="BB168" s="13"/>
      <c r="BD168" s="13">
        <v>7</v>
      </c>
      <c r="BE168" s="13">
        <v>13</v>
      </c>
      <c r="BF168" s="13">
        <v>400</v>
      </c>
      <c r="BG168" s="13">
        <v>1</v>
      </c>
      <c r="BH168" s="14">
        <f t="shared" si="55"/>
        <v>3.6400000000000002E-2</v>
      </c>
      <c r="BI168" s="13"/>
      <c r="BJ168" s="14"/>
      <c r="BK168" s="13"/>
      <c r="BM168" s="13">
        <v>13</v>
      </c>
      <c r="BN168" s="13">
        <v>20</v>
      </c>
      <c r="BO168" s="13">
        <v>400</v>
      </c>
      <c r="BP168" s="13">
        <v>3</v>
      </c>
      <c r="BQ168" s="14">
        <f t="shared" si="64"/>
        <v>0.312</v>
      </c>
      <c r="BR168" s="13"/>
      <c r="BS168" s="14"/>
      <c r="BT168" s="13"/>
      <c r="BV168" s="13">
        <v>4.5</v>
      </c>
      <c r="BW168" s="13">
        <v>15</v>
      </c>
      <c r="BX168" s="13">
        <v>400</v>
      </c>
      <c r="BY168" s="13">
        <v>11</v>
      </c>
      <c r="BZ168" s="14">
        <f t="shared" si="53"/>
        <v>0.29699999999999999</v>
      </c>
      <c r="CA168" s="13"/>
      <c r="CB168" s="14"/>
      <c r="CC168" s="13"/>
      <c r="CE168" s="115"/>
      <c r="CF168" s="115"/>
      <c r="CG168" s="115"/>
      <c r="CH168" s="17">
        <f>SUM(CH117:CH167)</f>
        <v>681</v>
      </c>
      <c r="CI168" s="48">
        <f>SUM(CI117:CI167)</f>
        <v>10.5966</v>
      </c>
      <c r="CJ168" s="17">
        <f>SUM(CJ117:CJ167)</f>
        <v>681</v>
      </c>
      <c r="CK168" s="48">
        <f>SUM(CK117:CK167)</f>
        <v>10.5966</v>
      </c>
      <c r="CL168" s="17"/>
      <c r="CN168" s="226" t="s">
        <v>13</v>
      </c>
      <c r="CO168" s="227"/>
      <c r="CP168" s="228"/>
      <c r="CQ168" s="227" t="s">
        <v>12</v>
      </c>
      <c r="CR168" s="228"/>
      <c r="CS168" s="227" t="s">
        <v>12</v>
      </c>
      <c r="CT168" s="228"/>
      <c r="CU168" s="229" t="s">
        <v>11</v>
      </c>
      <c r="CW168" s="13">
        <v>13</v>
      </c>
      <c r="CX168" s="13">
        <v>30</v>
      </c>
      <c r="CY168" s="13">
        <v>400</v>
      </c>
      <c r="CZ168" s="13">
        <v>3</v>
      </c>
      <c r="DA168" s="14">
        <f t="shared" ref="DA168:DA196" si="66">CW168*CX168*CY168*CZ168/1000000</f>
        <v>0.46800000000000003</v>
      </c>
      <c r="DB168" s="13"/>
      <c r="DC168" s="14"/>
      <c r="DD168" s="13"/>
    </row>
    <row r="169" spans="2:117" ht="17.25" thickTop="1" thickBot="1" x14ac:dyDescent="0.3">
      <c r="B169" s="13">
        <v>10</v>
      </c>
      <c r="C169" s="13">
        <v>20</v>
      </c>
      <c r="D169" s="13">
        <v>400</v>
      </c>
      <c r="E169" s="13">
        <v>2</v>
      </c>
      <c r="F169" s="20">
        <f t="shared" si="62"/>
        <v>0.16</v>
      </c>
      <c r="G169" s="13"/>
      <c r="H169" s="14"/>
      <c r="I169" s="13"/>
      <c r="K169" s="13">
        <v>1.7</v>
      </c>
      <c r="L169" s="13">
        <v>18</v>
      </c>
      <c r="M169" s="13">
        <v>400</v>
      </c>
      <c r="N169" s="13">
        <v>3</v>
      </c>
      <c r="O169" s="14">
        <f t="shared" si="60"/>
        <v>3.6720000000000003E-2</v>
      </c>
      <c r="P169" s="13"/>
      <c r="Q169" s="14"/>
      <c r="R169" s="13"/>
      <c r="T169" s="13">
        <v>13</v>
      </c>
      <c r="U169" s="13">
        <v>20</v>
      </c>
      <c r="V169" s="13">
        <v>400</v>
      </c>
      <c r="W169" s="13">
        <v>4</v>
      </c>
      <c r="X169" s="14">
        <f t="shared" si="65"/>
        <v>0.41599999999999998</v>
      </c>
      <c r="Y169" s="13"/>
      <c r="Z169" s="14"/>
      <c r="AA169" s="13"/>
      <c r="AL169" s="237"/>
      <c r="AM169" s="237"/>
      <c r="AN169" s="238"/>
      <c r="AO169" s="17">
        <f>SUM(AO111:AO168)</f>
        <v>401</v>
      </c>
      <c r="AP169" s="32">
        <f>SUM(AP111:AP168)</f>
        <v>11.35952</v>
      </c>
      <c r="AQ169" s="17">
        <f>SUM(AQ111:AQ168)</f>
        <v>401</v>
      </c>
      <c r="AR169" s="32">
        <f>SUM(AR111:AR168)</f>
        <v>11.35952</v>
      </c>
      <c r="AS169" s="17"/>
      <c r="AU169" s="13">
        <v>15</v>
      </c>
      <c r="AV169" s="13">
        <v>15</v>
      </c>
      <c r="AW169" s="13">
        <v>400</v>
      </c>
      <c r="AX169" s="13">
        <v>3</v>
      </c>
      <c r="AY169" s="14">
        <f t="shared" si="63"/>
        <v>0.27</v>
      </c>
      <c r="AZ169" s="13"/>
      <c r="BA169" s="14"/>
      <c r="BB169" s="13"/>
      <c r="BD169" s="13">
        <v>2.2000000000000002</v>
      </c>
      <c r="BE169" s="13">
        <v>13</v>
      </c>
      <c r="BF169" s="13">
        <v>400</v>
      </c>
      <c r="BG169" s="13">
        <v>6</v>
      </c>
      <c r="BH169" s="14">
        <f t="shared" si="55"/>
        <v>6.8640000000000007E-2</v>
      </c>
      <c r="BI169" s="13"/>
      <c r="BJ169" s="14"/>
      <c r="BK169" s="13"/>
      <c r="BM169" s="13">
        <v>10</v>
      </c>
      <c r="BN169" s="13">
        <v>20</v>
      </c>
      <c r="BO169" s="13">
        <v>400</v>
      </c>
      <c r="BP169" s="13">
        <v>15</v>
      </c>
      <c r="BQ169" s="14">
        <f t="shared" si="64"/>
        <v>1.2</v>
      </c>
      <c r="BR169" s="13"/>
      <c r="BS169" s="14"/>
      <c r="BT169" s="41"/>
      <c r="BV169" s="13">
        <v>3.5</v>
      </c>
      <c r="BW169" s="13">
        <v>15</v>
      </c>
      <c r="BX169" s="13">
        <v>400</v>
      </c>
      <c r="BY169" s="13">
        <v>4</v>
      </c>
      <c r="BZ169" s="14">
        <f t="shared" si="53"/>
        <v>8.4000000000000005E-2</v>
      </c>
      <c r="CA169" s="13"/>
      <c r="CB169" s="14"/>
      <c r="CC169" s="13"/>
      <c r="CN169" s="24" t="s">
        <v>10</v>
      </c>
      <c r="CO169" s="23" t="s">
        <v>9</v>
      </c>
      <c r="CP169" s="23" t="s">
        <v>8</v>
      </c>
      <c r="CQ169" s="22" t="s">
        <v>7</v>
      </c>
      <c r="CR169" s="21" t="s">
        <v>6</v>
      </c>
      <c r="CS169" s="22" t="s">
        <v>7</v>
      </c>
      <c r="CT169" s="21" t="s">
        <v>6</v>
      </c>
      <c r="CU169" s="230"/>
      <c r="CW169" s="13">
        <v>13</v>
      </c>
      <c r="CX169" s="13">
        <v>33</v>
      </c>
      <c r="CY169" s="13">
        <v>400</v>
      </c>
      <c r="CZ169" s="13">
        <v>7</v>
      </c>
      <c r="DA169" s="14">
        <f t="shared" si="66"/>
        <v>1.2012</v>
      </c>
      <c r="DB169" s="13"/>
      <c r="DC169" s="14"/>
      <c r="DD169" s="13"/>
    </row>
    <row r="170" spans="2:117" ht="16.5" thickTop="1" x14ac:dyDescent="0.25">
      <c r="B170" s="13">
        <v>10</v>
      </c>
      <c r="C170" s="13">
        <v>15</v>
      </c>
      <c r="D170" s="13">
        <v>400</v>
      </c>
      <c r="E170" s="13">
        <v>7</v>
      </c>
      <c r="F170" s="20">
        <f t="shared" si="62"/>
        <v>0.42</v>
      </c>
      <c r="G170" s="13"/>
      <c r="H170" s="14"/>
      <c r="I170" s="13"/>
      <c r="K170" s="13">
        <v>1.7</v>
      </c>
      <c r="L170" s="13">
        <v>15</v>
      </c>
      <c r="M170" s="13">
        <v>400</v>
      </c>
      <c r="N170" s="13">
        <v>17</v>
      </c>
      <c r="O170" s="14">
        <f t="shared" si="60"/>
        <v>0.1734</v>
      </c>
      <c r="P170" s="13"/>
      <c r="Q170" s="14"/>
      <c r="R170" s="13"/>
      <c r="T170" s="13">
        <v>13</v>
      </c>
      <c r="U170" s="13">
        <v>18</v>
      </c>
      <c r="V170" s="13">
        <v>400</v>
      </c>
      <c r="W170" s="13">
        <v>4</v>
      </c>
      <c r="X170" s="14">
        <f t="shared" si="65"/>
        <v>0.37440000000000001</v>
      </c>
      <c r="Y170" s="13">
        <f>SUM(W166:W170)</f>
        <v>20</v>
      </c>
      <c r="Z170" s="14">
        <f>SUM(X166:X170)</f>
        <v>2.3660000000000001</v>
      </c>
      <c r="AA170" s="13"/>
      <c r="AC170" s="8" t="s">
        <v>30</v>
      </c>
      <c r="AH170" s="8" t="s">
        <v>120</v>
      </c>
      <c r="AI170" s="4"/>
      <c r="AJ170" s="4"/>
      <c r="AU170" s="13">
        <v>10</v>
      </c>
      <c r="AV170" s="13">
        <v>15</v>
      </c>
      <c r="AW170" s="13">
        <v>400</v>
      </c>
      <c r="AX170" s="13">
        <v>4</v>
      </c>
      <c r="AY170" s="14">
        <f t="shared" si="63"/>
        <v>0.24</v>
      </c>
      <c r="AZ170" s="37"/>
      <c r="BA170" s="42"/>
      <c r="BB170" s="41"/>
      <c r="BD170" s="13">
        <v>3.5</v>
      </c>
      <c r="BE170" s="13">
        <v>13</v>
      </c>
      <c r="BF170" s="13">
        <v>400</v>
      </c>
      <c r="BG170" s="13">
        <v>3</v>
      </c>
      <c r="BH170" s="14">
        <f t="shared" si="55"/>
        <v>5.4600000000000003E-2</v>
      </c>
      <c r="BI170" s="13"/>
      <c r="BJ170" s="14"/>
      <c r="BK170" s="13"/>
      <c r="BM170" s="13">
        <v>7</v>
      </c>
      <c r="BN170" s="13">
        <v>20</v>
      </c>
      <c r="BO170" s="13">
        <v>400</v>
      </c>
      <c r="BP170" s="13">
        <v>6</v>
      </c>
      <c r="BQ170" s="14">
        <f t="shared" si="64"/>
        <v>0.33600000000000002</v>
      </c>
      <c r="BR170" s="13"/>
      <c r="BS170" s="14"/>
      <c r="BT170" s="13"/>
      <c r="BV170" s="13">
        <v>15</v>
      </c>
      <c r="BW170" s="13">
        <v>15</v>
      </c>
      <c r="BX170" s="13">
        <v>400</v>
      </c>
      <c r="BY170" s="13">
        <v>2</v>
      </c>
      <c r="BZ170" s="14">
        <f t="shared" si="53"/>
        <v>0.18</v>
      </c>
      <c r="CA170" s="13"/>
      <c r="CB170" s="14"/>
      <c r="CC170" s="13"/>
      <c r="CE170" s="8" t="s">
        <v>138</v>
      </c>
      <c r="CN170" s="13">
        <v>3</v>
      </c>
      <c r="CO170" s="13">
        <v>10</v>
      </c>
      <c r="CP170" s="13">
        <v>400</v>
      </c>
      <c r="CQ170" s="13">
        <v>5</v>
      </c>
      <c r="CR170" s="14">
        <f t="shared" ref="CR170:CR223" si="67">CN170*CO170*CP170*CQ170/1000000</f>
        <v>0.06</v>
      </c>
      <c r="CS170" s="13"/>
      <c r="CT170" s="14"/>
      <c r="CU170" s="13"/>
      <c r="CW170" s="13">
        <v>15</v>
      </c>
      <c r="CX170" s="13">
        <v>33</v>
      </c>
      <c r="CY170" s="13">
        <v>400</v>
      </c>
      <c r="CZ170" s="13">
        <v>7</v>
      </c>
      <c r="DA170" s="14">
        <f t="shared" si="66"/>
        <v>1.3859999999999999</v>
      </c>
      <c r="DB170" s="13"/>
      <c r="DC170" s="14"/>
      <c r="DD170" s="13"/>
      <c r="DF170" s="231" t="s">
        <v>19</v>
      </c>
      <c r="DG170" s="231"/>
      <c r="DH170" s="231"/>
      <c r="DI170" s="231"/>
      <c r="DJ170" s="231"/>
      <c r="DK170" s="231"/>
      <c r="DL170" s="231"/>
      <c r="DM170" s="231"/>
    </row>
    <row r="171" spans="2:117" ht="15.75" x14ac:dyDescent="0.25">
      <c r="B171" s="13">
        <v>10</v>
      </c>
      <c r="C171" s="13">
        <v>10</v>
      </c>
      <c r="D171" s="13">
        <v>400</v>
      </c>
      <c r="E171" s="13">
        <v>1</v>
      </c>
      <c r="F171" s="20">
        <f t="shared" si="62"/>
        <v>0.04</v>
      </c>
      <c r="G171" s="13">
        <f>SUM(E163:E171)</f>
        <v>43</v>
      </c>
      <c r="H171" s="14">
        <f>SUM(F163:F171)</f>
        <v>3.9399999999999995</v>
      </c>
      <c r="I171" s="13"/>
      <c r="K171" s="13">
        <v>1.7</v>
      </c>
      <c r="L171" s="13">
        <v>15</v>
      </c>
      <c r="M171" s="13">
        <v>400</v>
      </c>
      <c r="N171" s="13">
        <v>14</v>
      </c>
      <c r="O171" s="14">
        <f t="shared" si="60"/>
        <v>0.14280000000000001</v>
      </c>
      <c r="P171" s="13"/>
      <c r="Q171" s="14"/>
      <c r="R171" s="13"/>
      <c r="T171" s="13">
        <v>10</v>
      </c>
      <c r="U171" s="13">
        <v>30</v>
      </c>
      <c r="V171" s="13">
        <v>400</v>
      </c>
      <c r="W171" s="13">
        <v>2</v>
      </c>
      <c r="X171" s="14">
        <f t="shared" si="65"/>
        <v>0.24</v>
      </c>
      <c r="Y171" s="13"/>
      <c r="Z171" s="14"/>
      <c r="AA171" s="13"/>
      <c r="AC171" s="4" t="s">
        <v>24</v>
      </c>
      <c r="AD171" s="4"/>
      <c r="AE171" s="6">
        <f>SUM(AF55)</f>
        <v>520</v>
      </c>
      <c r="AF171" s="5">
        <f>SUM(AG55)</f>
        <v>12.136519999999999</v>
      </c>
      <c r="AG171" s="4"/>
      <c r="AH171" s="4" t="s">
        <v>118</v>
      </c>
      <c r="AI171" s="6">
        <f>SUM(AF97,AF91,AF43,AF37,)</f>
        <v>1002</v>
      </c>
      <c r="AJ171" s="7">
        <f>SUM(AG97,AG91,AG43,AG37,)</f>
        <v>7.2431999999999999</v>
      </c>
      <c r="AL171" s="231" t="s">
        <v>19</v>
      </c>
      <c r="AM171" s="231"/>
      <c r="AN171" s="231"/>
      <c r="AO171" s="231"/>
      <c r="AP171" s="231"/>
      <c r="AQ171" s="231"/>
      <c r="AR171" s="231"/>
      <c r="AS171" s="231"/>
      <c r="AU171" s="13">
        <v>12</v>
      </c>
      <c r="AV171" s="13">
        <v>15</v>
      </c>
      <c r="AW171" s="13">
        <v>400</v>
      </c>
      <c r="AX171" s="13">
        <v>1</v>
      </c>
      <c r="AY171" s="14">
        <f t="shared" si="63"/>
        <v>7.1999999999999995E-2</v>
      </c>
      <c r="AZ171" s="13"/>
      <c r="BA171" s="14"/>
      <c r="BB171" s="13"/>
      <c r="BD171" s="13">
        <v>13</v>
      </c>
      <c r="BE171" s="13">
        <v>13</v>
      </c>
      <c r="BF171" s="13">
        <v>400</v>
      </c>
      <c r="BG171" s="13">
        <v>1</v>
      </c>
      <c r="BH171" s="14">
        <f t="shared" si="55"/>
        <v>6.7599999999999993E-2</v>
      </c>
      <c r="BI171" s="13"/>
      <c r="BJ171" s="14"/>
      <c r="BK171" s="13"/>
      <c r="BM171" s="13">
        <v>4.5</v>
      </c>
      <c r="BN171" s="13">
        <v>20</v>
      </c>
      <c r="BO171" s="13">
        <v>400</v>
      </c>
      <c r="BP171" s="13">
        <v>7</v>
      </c>
      <c r="BQ171" s="14">
        <f t="shared" si="64"/>
        <v>0.252</v>
      </c>
      <c r="BR171" s="13"/>
      <c r="BS171" s="14"/>
      <c r="BT171" s="41"/>
      <c r="BV171" s="13">
        <v>10</v>
      </c>
      <c r="BW171" s="13">
        <v>15</v>
      </c>
      <c r="BX171" s="13">
        <v>400</v>
      </c>
      <c r="BY171" s="13">
        <v>3</v>
      </c>
      <c r="BZ171" s="14">
        <f t="shared" si="53"/>
        <v>0.18</v>
      </c>
      <c r="CA171" s="13"/>
      <c r="CB171" s="14"/>
      <c r="CC171" s="13"/>
      <c r="CE171" s="4" t="s">
        <v>24</v>
      </c>
      <c r="CF171" s="4"/>
      <c r="CG171" s="6">
        <f>SUM(CH77)</f>
        <v>307</v>
      </c>
      <c r="CH171" s="5">
        <f>SUM(CI77)</f>
        <v>13.685560000000002</v>
      </c>
      <c r="CI171" s="7" t="s">
        <v>23</v>
      </c>
      <c r="CJ171" s="6">
        <f>SUM(CJ167+CJ107+CJ76)</f>
        <v>2459</v>
      </c>
      <c r="CK171" s="5">
        <f>SUM(CK167+CK107+CK76)</f>
        <v>28.510359999999999</v>
      </c>
      <c r="CN171" s="13">
        <v>2</v>
      </c>
      <c r="CO171" s="13">
        <v>10</v>
      </c>
      <c r="CP171" s="13">
        <v>400</v>
      </c>
      <c r="CQ171" s="13">
        <v>9</v>
      </c>
      <c r="CR171" s="14">
        <f t="shared" si="67"/>
        <v>7.1999999999999995E-2</v>
      </c>
      <c r="CS171" s="13"/>
      <c r="CT171" s="14"/>
      <c r="CU171" s="13"/>
      <c r="CW171" s="13">
        <v>15</v>
      </c>
      <c r="CX171" s="13">
        <v>30</v>
      </c>
      <c r="CY171" s="13">
        <v>400</v>
      </c>
      <c r="CZ171" s="13">
        <v>2</v>
      </c>
      <c r="DA171" s="14">
        <f t="shared" si="66"/>
        <v>0.36</v>
      </c>
      <c r="DB171" s="13"/>
      <c r="DC171" s="14"/>
      <c r="DD171" s="13"/>
      <c r="DF171" s="231"/>
      <c r="DG171" s="231"/>
      <c r="DH171" s="231"/>
      <c r="DI171" s="231"/>
      <c r="DJ171" s="231"/>
      <c r="DK171" s="231"/>
      <c r="DL171" s="231"/>
      <c r="DM171" s="231"/>
    </row>
    <row r="172" spans="2:117" ht="15.75" x14ac:dyDescent="0.25">
      <c r="B172" s="13">
        <v>8</v>
      </c>
      <c r="C172" s="13">
        <v>25</v>
      </c>
      <c r="D172" s="13">
        <v>400</v>
      </c>
      <c r="E172" s="13">
        <v>2</v>
      </c>
      <c r="F172" s="20">
        <f t="shared" si="62"/>
        <v>0.16</v>
      </c>
      <c r="G172" s="13"/>
      <c r="H172" s="14"/>
      <c r="I172" s="13"/>
      <c r="K172" s="13">
        <v>1.7</v>
      </c>
      <c r="L172" s="13">
        <v>10</v>
      </c>
      <c r="M172" s="13">
        <v>400</v>
      </c>
      <c r="N172" s="13">
        <v>28</v>
      </c>
      <c r="O172" s="14">
        <f t="shared" si="60"/>
        <v>0.19040000000000001</v>
      </c>
      <c r="P172" s="13">
        <f>SUM(N167:N172)</f>
        <v>65</v>
      </c>
      <c r="Q172" s="14">
        <f>SUM(O167:O172)</f>
        <v>0.58616000000000001</v>
      </c>
      <c r="R172" s="13"/>
      <c r="T172" s="13">
        <v>10</v>
      </c>
      <c r="U172" s="13">
        <v>25</v>
      </c>
      <c r="V172" s="13">
        <v>400</v>
      </c>
      <c r="W172" s="13">
        <v>8</v>
      </c>
      <c r="X172" s="14">
        <f t="shared" si="65"/>
        <v>0.8</v>
      </c>
      <c r="Y172" s="13"/>
      <c r="Z172" s="14"/>
      <c r="AA172" s="13"/>
      <c r="AC172" s="4" t="s">
        <v>22</v>
      </c>
      <c r="AD172" s="4"/>
      <c r="AE172" s="6">
        <f>SUM(AF109)</f>
        <v>935</v>
      </c>
      <c r="AF172" s="5">
        <f>SUM(AG109)</f>
        <v>12.254119999999999</v>
      </c>
      <c r="AG172" s="4"/>
      <c r="AH172" s="4" t="s">
        <v>119</v>
      </c>
      <c r="AI172" s="6">
        <f>SUM(AF118:AF167,AF98:AF108,AF92:AF96,AF64:AF90,AF44:AF54,AF38:AF42,AF8:AF36)</f>
        <v>790</v>
      </c>
      <c r="AJ172" s="5">
        <f>SUM(AG118:AG167,AG98:AG108,AG92:AG96,AG64:AG90,AG44:AG54,AG38:AG42,AG8:AG36)</f>
        <v>29.472160000000002</v>
      </c>
      <c r="AL172" s="231"/>
      <c r="AM172" s="231"/>
      <c r="AN172" s="231"/>
      <c r="AO172" s="231"/>
      <c r="AP172" s="231"/>
      <c r="AQ172" s="231"/>
      <c r="AR172" s="231"/>
      <c r="AS172" s="231"/>
      <c r="AU172" s="13">
        <v>6</v>
      </c>
      <c r="AV172" s="13">
        <v>15</v>
      </c>
      <c r="AW172" s="13">
        <v>400</v>
      </c>
      <c r="AX172" s="13">
        <v>7</v>
      </c>
      <c r="AY172" s="14">
        <f t="shared" si="63"/>
        <v>0.252</v>
      </c>
      <c r="AZ172" s="13"/>
      <c r="BA172" s="14"/>
      <c r="BB172" s="13"/>
      <c r="BD172" s="13">
        <v>10</v>
      </c>
      <c r="BE172" s="13">
        <v>30</v>
      </c>
      <c r="BF172" s="13">
        <v>400</v>
      </c>
      <c r="BG172" s="13">
        <v>1</v>
      </c>
      <c r="BH172" s="14">
        <f t="shared" si="55"/>
        <v>0.12</v>
      </c>
      <c r="BI172" s="13"/>
      <c r="BJ172" s="14"/>
      <c r="BK172" s="13"/>
      <c r="BM172" s="13">
        <v>2.2000000000000002</v>
      </c>
      <c r="BN172" s="13">
        <v>20</v>
      </c>
      <c r="BO172" s="13">
        <v>400</v>
      </c>
      <c r="BP172" s="13">
        <v>1</v>
      </c>
      <c r="BQ172" s="14">
        <f t="shared" si="64"/>
        <v>1.7600000000000001E-2</v>
      </c>
      <c r="BR172" s="13"/>
      <c r="BS172" s="14"/>
      <c r="BT172" s="41"/>
      <c r="BV172" s="13">
        <v>13</v>
      </c>
      <c r="BW172" s="13">
        <v>15</v>
      </c>
      <c r="BX172" s="13">
        <v>400</v>
      </c>
      <c r="BY172" s="13">
        <v>1</v>
      </c>
      <c r="BZ172" s="14">
        <f t="shared" si="53"/>
        <v>7.8E-2</v>
      </c>
      <c r="CA172" s="13"/>
      <c r="CB172" s="14"/>
      <c r="CC172" s="13"/>
      <c r="CE172" s="4" t="s">
        <v>22</v>
      </c>
      <c r="CF172" s="4"/>
      <c r="CG172" s="6">
        <f>SUM(CH108)</f>
        <v>1867</v>
      </c>
      <c r="CH172" s="5">
        <f>SUM(CI108)</f>
        <v>11.588999999999999</v>
      </c>
      <c r="CI172" s="7" t="s">
        <v>21</v>
      </c>
      <c r="CJ172" s="6">
        <f>SUM(CJ142+CJ38)</f>
        <v>396</v>
      </c>
      <c r="CK172" s="5">
        <f>SUM(CK142+CK38)</f>
        <v>7.3608000000000011</v>
      </c>
      <c r="CN172" s="13">
        <v>4.5</v>
      </c>
      <c r="CO172" s="13">
        <v>10</v>
      </c>
      <c r="CP172" s="13">
        <v>400</v>
      </c>
      <c r="CQ172" s="13">
        <v>2</v>
      </c>
      <c r="CR172" s="14">
        <f t="shared" si="67"/>
        <v>3.5999999999999997E-2</v>
      </c>
      <c r="CS172" s="13"/>
      <c r="CT172" s="14"/>
      <c r="CU172" s="13"/>
      <c r="CW172" s="13">
        <v>10</v>
      </c>
      <c r="CX172" s="13">
        <v>20</v>
      </c>
      <c r="CY172" s="13">
        <v>400</v>
      </c>
      <c r="CZ172" s="13">
        <v>5</v>
      </c>
      <c r="DA172" s="14">
        <f t="shared" si="66"/>
        <v>0.4</v>
      </c>
      <c r="DB172" s="13"/>
      <c r="DC172" s="14"/>
      <c r="DD172" s="13"/>
      <c r="DF172" s="28" t="s">
        <v>18</v>
      </c>
      <c r="DG172" s="27" t="s">
        <v>74</v>
      </c>
      <c r="DH172" s="26"/>
      <c r="DI172" s="26"/>
      <c r="DJ172" s="26"/>
      <c r="DK172" s="26"/>
      <c r="DL172" s="232" t="s">
        <v>189</v>
      </c>
      <c r="DM172" s="233"/>
    </row>
    <row r="173" spans="2:117" ht="16.5" thickBot="1" x14ac:dyDescent="0.3">
      <c r="B173" s="13">
        <v>8</v>
      </c>
      <c r="C173" s="13">
        <v>20</v>
      </c>
      <c r="D173" s="13">
        <v>400</v>
      </c>
      <c r="E173" s="13">
        <v>3</v>
      </c>
      <c r="F173" s="20">
        <f t="shared" si="62"/>
        <v>0.192</v>
      </c>
      <c r="G173" s="13"/>
      <c r="H173" s="14"/>
      <c r="I173" s="13"/>
      <c r="N173" s="17">
        <f>SUM(N119:N172)</f>
        <v>361</v>
      </c>
      <c r="O173" s="18">
        <f>SUM(O119:O172)</f>
        <v>12.619034999999995</v>
      </c>
      <c r="P173" s="17">
        <f>SUM(P119:P172)</f>
        <v>361</v>
      </c>
      <c r="Q173" s="18">
        <f>SUM(Q119:Q172)</f>
        <v>12.619034999999998</v>
      </c>
      <c r="R173" s="17"/>
      <c r="T173" s="13">
        <v>10</v>
      </c>
      <c r="U173" s="13">
        <v>23</v>
      </c>
      <c r="V173" s="13">
        <v>400</v>
      </c>
      <c r="W173" s="13">
        <v>7</v>
      </c>
      <c r="X173" s="14">
        <f t="shared" si="65"/>
        <v>0.64400000000000002</v>
      </c>
      <c r="Y173" s="13"/>
      <c r="Z173" s="14"/>
      <c r="AA173" s="13"/>
      <c r="AC173" s="4" t="s">
        <v>20</v>
      </c>
      <c r="AD173" s="4"/>
      <c r="AE173" s="6">
        <f>SUM(AF168)</f>
        <v>337</v>
      </c>
      <c r="AF173" s="5">
        <f>SUM(AG168)</f>
        <v>12.324720000000001</v>
      </c>
      <c r="AG173" s="4"/>
      <c r="AH173" s="4"/>
      <c r="AI173" s="3">
        <f>SUM(AI171:AI172)</f>
        <v>1792</v>
      </c>
      <c r="AJ173" s="153">
        <f>SUM(AJ171:AJ172)</f>
        <v>36.715360000000004</v>
      </c>
      <c r="AL173" s="28" t="s">
        <v>18</v>
      </c>
      <c r="AM173" s="27" t="s">
        <v>34</v>
      </c>
      <c r="AN173" s="26"/>
      <c r="AO173" s="26"/>
      <c r="AP173" s="26"/>
      <c r="AQ173" s="26"/>
      <c r="AR173" s="26"/>
      <c r="AS173" s="26"/>
      <c r="AU173" s="13">
        <v>5</v>
      </c>
      <c r="AV173" s="13">
        <v>15</v>
      </c>
      <c r="AW173" s="13">
        <v>400</v>
      </c>
      <c r="AX173" s="13">
        <v>6</v>
      </c>
      <c r="AY173" s="14">
        <f t="shared" si="63"/>
        <v>0.18</v>
      </c>
      <c r="AZ173" s="13"/>
      <c r="BA173" s="14"/>
      <c r="BB173" s="13"/>
      <c r="BD173" s="13">
        <v>10</v>
      </c>
      <c r="BE173" s="13">
        <v>33</v>
      </c>
      <c r="BF173" s="13">
        <v>400</v>
      </c>
      <c r="BG173" s="13">
        <v>1</v>
      </c>
      <c r="BH173" s="14">
        <f t="shared" si="55"/>
        <v>0.13200000000000001</v>
      </c>
      <c r="BI173" s="13"/>
      <c r="BJ173" s="14"/>
      <c r="BK173" s="13"/>
      <c r="BM173" s="13">
        <v>13</v>
      </c>
      <c r="BN173" s="13">
        <v>15</v>
      </c>
      <c r="BO173" s="13">
        <v>400</v>
      </c>
      <c r="BP173" s="13">
        <v>2</v>
      </c>
      <c r="BQ173" s="14">
        <f t="shared" si="64"/>
        <v>0.156</v>
      </c>
      <c r="BR173" s="13"/>
      <c r="BS173" s="14"/>
      <c r="BT173" s="13"/>
      <c r="BV173" s="13">
        <v>7</v>
      </c>
      <c r="BW173" s="13">
        <v>15</v>
      </c>
      <c r="BX173" s="13">
        <v>400</v>
      </c>
      <c r="BY173" s="13">
        <v>2</v>
      </c>
      <c r="BZ173" s="14">
        <f t="shared" si="53"/>
        <v>8.4000000000000005E-2</v>
      </c>
      <c r="CA173" s="13"/>
      <c r="CB173" s="14"/>
      <c r="CC173" s="13"/>
      <c r="CE173" s="4" t="s">
        <v>20</v>
      </c>
      <c r="CF173" s="4"/>
      <c r="CG173" s="6">
        <f>SUM(CH168)</f>
        <v>681</v>
      </c>
      <c r="CH173" s="5">
        <f>SUM(CI168)</f>
        <v>10.5966</v>
      </c>
      <c r="CI173" s="4"/>
      <c r="CJ173" s="3">
        <f>SUM(CJ171:CJ172)</f>
        <v>2855</v>
      </c>
      <c r="CK173" s="53">
        <f>SUM(CK171:CK172)</f>
        <v>35.871160000000003</v>
      </c>
      <c r="CN173" s="13">
        <v>6</v>
      </c>
      <c r="CO173" s="13">
        <v>10</v>
      </c>
      <c r="CP173" s="13">
        <v>400</v>
      </c>
      <c r="CQ173" s="13">
        <v>1</v>
      </c>
      <c r="CR173" s="14">
        <f t="shared" si="67"/>
        <v>2.4E-2</v>
      </c>
      <c r="CS173" s="13"/>
      <c r="CT173" s="14"/>
      <c r="CU173" s="13"/>
      <c r="CW173" s="13">
        <v>7</v>
      </c>
      <c r="CX173" s="13">
        <v>20</v>
      </c>
      <c r="CY173" s="13">
        <v>400</v>
      </c>
      <c r="CZ173" s="13">
        <v>5</v>
      </c>
      <c r="DA173" s="14">
        <f t="shared" si="66"/>
        <v>0.28000000000000003</v>
      </c>
      <c r="DB173" s="13"/>
      <c r="DC173" s="14"/>
      <c r="DD173" s="41"/>
      <c r="DF173" s="28" t="s">
        <v>16</v>
      </c>
      <c r="DG173" s="27" t="s">
        <v>93</v>
      </c>
      <c r="DH173" s="26"/>
      <c r="DI173" s="26"/>
      <c r="DJ173" s="26"/>
      <c r="DK173" s="26"/>
      <c r="DL173" s="234"/>
      <c r="DM173" s="235"/>
    </row>
    <row r="174" spans="2:117" ht="17.25" thickTop="1" thickBot="1" x14ac:dyDescent="0.3">
      <c r="B174" s="13">
        <v>8</v>
      </c>
      <c r="C174" s="13">
        <v>20</v>
      </c>
      <c r="D174" s="13">
        <v>400</v>
      </c>
      <c r="E174" s="13">
        <v>2</v>
      </c>
      <c r="F174" s="20">
        <f t="shared" si="62"/>
        <v>0.128</v>
      </c>
      <c r="G174" s="13"/>
      <c r="H174" s="14"/>
      <c r="I174" s="13"/>
      <c r="T174" s="13">
        <v>10</v>
      </c>
      <c r="U174" s="13">
        <v>20</v>
      </c>
      <c r="V174" s="13">
        <v>400</v>
      </c>
      <c r="W174" s="13">
        <v>26</v>
      </c>
      <c r="X174" s="14">
        <f t="shared" si="65"/>
        <v>2.08</v>
      </c>
      <c r="Y174" s="13"/>
      <c r="Z174" s="14"/>
      <c r="AA174" s="13"/>
      <c r="AC174" s="4"/>
      <c r="AD174" s="4"/>
      <c r="AE174" s="30">
        <f>SUM(AE171:AE173)</f>
        <v>1792</v>
      </c>
      <c r="AF174" s="31">
        <f>SUM(AF171:AF173)</f>
        <v>36.715359999999997</v>
      </c>
      <c r="AG174" s="4"/>
      <c r="AL174" s="28" t="s">
        <v>16</v>
      </c>
      <c r="AM174" s="27" t="s">
        <v>33</v>
      </c>
      <c r="AN174" s="26"/>
      <c r="AO174" s="26"/>
      <c r="AP174" s="26"/>
      <c r="AQ174" s="26"/>
      <c r="AR174" s="26"/>
      <c r="AS174" s="26"/>
      <c r="AU174" s="13">
        <v>3</v>
      </c>
      <c r="AV174" s="13">
        <v>15</v>
      </c>
      <c r="AW174" s="13">
        <v>400</v>
      </c>
      <c r="AX174" s="13">
        <v>1</v>
      </c>
      <c r="AY174" s="14">
        <f t="shared" si="63"/>
        <v>1.7999999999999999E-2</v>
      </c>
      <c r="AZ174" s="13"/>
      <c r="BA174" s="14"/>
      <c r="BB174" s="13"/>
      <c r="BD174" s="13">
        <v>3.5</v>
      </c>
      <c r="BE174" s="13">
        <v>10</v>
      </c>
      <c r="BF174" s="13">
        <v>400</v>
      </c>
      <c r="BG174" s="13">
        <v>22</v>
      </c>
      <c r="BH174" s="14">
        <f t="shared" si="55"/>
        <v>0.308</v>
      </c>
      <c r="BI174" s="13"/>
      <c r="BJ174" s="14"/>
      <c r="BK174" s="13"/>
      <c r="BM174" s="13">
        <v>7</v>
      </c>
      <c r="BN174" s="13">
        <v>15</v>
      </c>
      <c r="BO174" s="13">
        <v>400</v>
      </c>
      <c r="BP174" s="13">
        <v>4</v>
      </c>
      <c r="BQ174" s="14">
        <f t="shared" si="64"/>
        <v>0.16800000000000001</v>
      </c>
      <c r="BR174" s="13"/>
      <c r="BS174" s="14"/>
      <c r="BT174" s="13"/>
      <c r="BV174" s="13">
        <v>1.7</v>
      </c>
      <c r="BW174" s="13">
        <v>15</v>
      </c>
      <c r="BX174" s="13">
        <v>400</v>
      </c>
      <c r="BY174" s="13">
        <v>1</v>
      </c>
      <c r="BZ174" s="14">
        <f t="shared" si="53"/>
        <v>1.0200000000000001E-2</v>
      </c>
      <c r="CA174" s="13"/>
      <c r="CB174" s="14"/>
      <c r="CC174" s="13"/>
      <c r="CE174" s="4"/>
      <c r="CF174" s="4"/>
      <c r="CG174" s="30">
        <f>SUM(CG171:CG173)</f>
        <v>2855</v>
      </c>
      <c r="CH174" s="29">
        <f>SUM(CH171:CH173)</f>
        <v>35.871160000000003</v>
      </c>
      <c r="CN174" s="13">
        <v>10</v>
      </c>
      <c r="CO174" s="13">
        <v>12.5</v>
      </c>
      <c r="CP174" s="13">
        <v>400</v>
      </c>
      <c r="CQ174" s="13">
        <v>1</v>
      </c>
      <c r="CR174" s="14">
        <f t="shared" si="67"/>
        <v>0.05</v>
      </c>
      <c r="CS174" s="13"/>
      <c r="CT174" s="14"/>
      <c r="CU174" s="13"/>
      <c r="CW174" s="13">
        <v>8</v>
      </c>
      <c r="CX174" s="13">
        <v>20</v>
      </c>
      <c r="CY174" s="13">
        <v>400</v>
      </c>
      <c r="CZ174" s="13">
        <v>3</v>
      </c>
      <c r="DA174" s="14">
        <f t="shared" si="66"/>
        <v>0.192</v>
      </c>
      <c r="DB174" s="13"/>
      <c r="DC174" s="14"/>
      <c r="DD174" s="41"/>
      <c r="DF174" s="43"/>
      <c r="DG174" s="25"/>
      <c r="DH174" s="25"/>
      <c r="DI174" s="25"/>
      <c r="DJ174" s="25"/>
      <c r="DK174" s="225" t="s">
        <v>190</v>
      </c>
      <c r="DL174" s="225"/>
      <c r="DM174" s="225"/>
    </row>
    <row r="175" spans="2:117" ht="16.5" thickTop="1" x14ac:dyDescent="0.25">
      <c r="B175" s="13">
        <v>8</v>
      </c>
      <c r="C175" s="13">
        <v>15</v>
      </c>
      <c r="D175" s="13">
        <v>400</v>
      </c>
      <c r="E175" s="13">
        <v>2</v>
      </c>
      <c r="F175" s="20">
        <f t="shared" si="62"/>
        <v>9.6000000000000002E-2</v>
      </c>
      <c r="G175" s="13"/>
      <c r="H175" s="14"/>
      <c r="I175" s="13"/>
      <c r="K175" s="8" t="s">
        <v>29</v>
      </c>
      <c r="L175" s="4"/>
      <c r="M175" s="4"/>
      <c r="N175" s="4"/>
      <c r="P175" s="8" t="s">
        <v>120</v>
      </c>
      <c r="Q175" s="4"/>
      <c r="R175" s="4"/>
      <c r="T175" s="13">
        <v>10</v>
      </c>
      <c r="U175" s="13">
        <v>18</v>
      </c>
      <c r="V175" s="13">
        <v>400</v>
      </c>
      <c r="W175" s="13">
        <v>7</v>
      </c>
      <c r="X175" s="14">
        <f t="shared" si="65"/>
        <v>0.504</v>
      </c>
      <c r="Y175" s="13"/>
      <c r="Z175" s="14"/>
      <c r="AA175" s="13"/>
      <c r="AL175" s="43"/>
      <c r="AM175" s="25"/>
      <c r="AN175" s="25"/>
      <c r="AO175" s="25"/>
      <c r="AP175" s="25"/>
      <c r="AQ175" s="225" t="s">
        <v>38</v>
      </c>
      <c r="AR175" s="225"/>
      <c r="AS175" s="225"/>
      <c r="AU175" s="13">
        <v>2</v>
      </c>
      <c r="AV175" s="13">
        <v>15</v>
      </c>
      <c r="AW175" s="13">
        <v>400</v>
      </c>
      <c r="AX175" s="13">
        <v>1</v>
      </c>
      <c r="AY175" s="14">
        <f t="shared" si="63"/>
        <v>1.2E-2</v>
      </c>
      <c r="AZ175" s="13"/>
      <c r="BA175" s="14"/>
      <c r="BB175" s="13"/>
      <c r="BD175" s="13">
        <v>2.2000000000000002</v>
      </c>
      <c r="BE175" s="13">
        <v>10</v>
      </c>
      <c r="BF175" s="13">
        <v>400</v>
      </c>
      <c r="BG175" s="13">
        <v>59</v>
      </c>
      <c r="BH175" s="14">
        <f t="shared" si="55"/>
        <v>0.51919999999999999</v>
      </c>
      <c r="BI175" s="13"/>
      <c r="BJ175" s="14"/>
      <c r="BK175" s="13"/>
      <c r="BM175" s="13">
        <v>4.5</v>
      </c>
      <c r="BN175" s="13">
        <v>15</v>
      </c>
      <c r="BO175" s="13">
        <v>400</v>
      </c>
      <c r="BP175" s="13">
        <v>13</v>
      </c>
      <c r="BQ175" s="14">
        <f t="shared" si="64"/>
        <v>0.35099999999999998</v>
      </c>
      <c r="BR175" s="13"/>
      <c r="BS175" s="14"/>
      <c r="BT175" s="13"/>
      <c r="BV175" s="13">
        <v>13</v>
      </c>
      <c r="BW175" s="13">
        <v>30</v>
      </c>
      <c r="BX175" s="13">
        <v>400</v>
      </c>
      <c r="BY175" s="13">
        <v>3</v>
      </c>
      <c r="BZ175" s="14">
        <f t="shared" si="53"/>
        <v>0.46800000000000003</v>
      </c>
      <c r="CA175" s="13"/>
      <c r="CB175" s="14"/>
      <c r="CC175" s="13"/>
      <c r="CI175" s="7" t="s">
        <v>118</v>
      </c>
      <c r="CJ175" s="6">
        <f>SUM(CH164:CH167,CH107,CH103:CH105,CH76)</f>
        <v>1967</v>
      </c>
      <c r="CK175" s="7">
        <f>SUM(CI164:CI167,CI107,CI103:CI105,CI76)</f>
        <v>9.3903999999999996</v>
      </c>
      <c r="CN175" s="13">
        <v>10</v>
      </c>
      <c r="CO175" s="13">
        <v>15</v>
      </c>
      <c r="CP175" s="13">
        <v>400</v>
      </c>
      <c r="CQ175" s="13">
        <v>3</v>
      </c>
      <c r="CR175" s="14">
        <f t="shared" si="67"/>
        <v>0.18</v>
      </c>
      <c r="CS175" s="13"/>
      <c r="CT175" s="14"/>
      <c r="CU175" s="41"/>
      <c r="CW175" s="13">
        <v>4.5</v>
      </c>
      <c r="CX175" s="13">
        <v>20</v>
      </c>
      <c r="CY175" s="13">
        <v>400</v>
      </c>
      <c r="CZ175" s="13">
        <v>1</v>
      </c>
      <c r="DA175" s="14">
        <f t="shared" si="66"/>
        <v>3.5999999999999997E-2</v>
      </c>
      <c r="DB175" s="13"/>
      <c r="DC175" s="14"/>
      <c r="DD175" s="41"/>
      <c r="DF175" s="226" t="s">
        <v>13</v>
      </c>
      <c r="DG175" s="227"/>
      <c r="DH175" s="228"/>
      <c r="DI175" s="227" t="s">
        <v>12</v>
      </c>
      <c r="DJ175" s="228"/>
      <c r="DK175" s="227" t="s">
        <v>12</v>
      </c>
      <c r="DL175" s="228"/>
      <c r="DM175" s="229" t="s">
        <v>11</v>
      </c>
    </row>
    <row r="176" spans="2:117" ht="15.75" customHeight="1" x14ac:dyDescent="0.25">
      <c r="B176" s="13">
        <v>8</v>
      </c>
      <c r="C176" s="13">
        <v>12</v>
      </c>
      <c r="D176" s="13">
        <v>400</v>
      </c>
      <c r="E176" s="13">
        <v>1</v>
      </c>
      <c r="F176" s="20">
        <f t="shared" si="62"/>
        <v>3.8399999999999997E-2</v>
      </c>
      <c r="G176" s="13"/>
      <c r="H176" s="14"/>
      <c r="I176" s="13"/>
      <c r="K176" s="4" t="s">
        <v>3</v>
      </c>
      <c r="L176" s="4"/>
      <c r="M176" s="6">
        <f>SUM(N62)</f>
        <v>647</v>
      </c>
      <c r="N176" s="5">
        <f>SUM(O62)</f>
        <v>12.691960000000003</v>
      </c>
      <c r="P176" s="4" t="s">
        <v>118</v>
      </c>
      <c r="Q176" s="6">
        <f>SUM(N156,N71:N73,N58:N59,N51,N40:N41,N36)</f>
        <v>810</v>
      </c>
      <c r="R176" s="5">
        <f>SUM(O156,O71:O73,O58:O59,O51,O40:O41,O36)</f>
        <v>3.5495599999999996</v>
      </c>
      <c r="T176" s="13">
        <v>10</v>
      </c>
      <c r="U176" s="13">
        <v>15</v>
      </c>
      <c r="V176" s="13">
        <v>400</v>
      </c>
      <c r="W176" s="13">
        <v>13</v>
      </c>
      <c r="X176" s="14">
        <f t="shared" si="65"/>
        <v>0.78</v>
      </c>
      <c r="Y176" s="13"/>
      <c r="Z176" s="14"/>
      <c r="AA176" s="13"/>
      <c r="AC176" s="231" t="s">
        <v>19</v>
      </c>
      <c r="AD176" s="231"/>
      <c r="AE176" s="231"/>
      <c r="AF176" s="231"/>
      <c r="AG176" s="231"/>
      <c r="AH176" s="231"/>
      <c r="AI176" s="231"/>
      <c r="AJ176" s="231"/>
      <c r="AL176" s="226" t="s">
        <v>13</v>
      </c>
      <c r="AM176" s="227"/>
      <c r="AN176" s="228"/>
      <c r="AO176" s="227" t="s">
        <v>12</v>
      </c>
      <c r="AP176" s="228"/>
      <c r="AQ176" s="227" t="s">
        <v>12</v>
      </c>
      <c r="AR176" s="228"/>
      <c r="AS176" s="229" t="s">
        <v>11</v>
      </c>
      <c r="AU176" s="13">
        <v>10</v>
      </c>
      <c r="AV176" s="13">
        <v>12</v>
      </c>
      <c r="AW176" s="13">
        <v>400</v>
      </c>
      <c r="AX176" s="13">
        <v>1</v>
      </c>
      <c r="AY176" s="14">
        <f t="shared" si="63"/>
        <v>4.8000000000000001E-2</v>
      </c>
      <c r="AZ176" s="13"/>
      <c r="BA176" s="14"/>
      <c r="BB176" s="13"/>
      <c r="BD176" s="13">
        <v>7</v>
      </c>
      <c r="BE176" s="13">
        <v>10</v>
      </c>
      <c r="BF176" s="13">
        <v>400</v>
      </c>
      <c r="BG176" s="13">
        <v>11</v>
      </c>
      <c r="BH176" s="14">
        <f t="shared" si="55"/>
        <v>0.308</v>
      </c>
      <c r="BI176" s="13"/>
      <c r="BJ176" s="14"/>
      <c r="BK176" s="13"/>
      <c r="BM176" s="13">
        <v>2.2000000000000002</v>
      </c>
      <c r="BN176" s="13">
        <v>15</v>
      </c>
      <c r="BO176" s="13">
        <v>400</v>
      </c>
      <c r="BP176" s="13">
        <v>4</v>
      </c>
      <c r="BQ176" s="14">
        <f t="shared" si="64"/>
        <v>5.28E-2</v>
      </c>
      <c r="BR176" s="13"/>
      <c r="BS176" s="14"/>
      <c r="BT176" s="13"/>
      <c r="BV176" s="13">
        <v>13</v>
      </c>
      <c r="BW176" s="13">
        <v>20</v>
      </c>
      <c r="BX176" s="13">
        <v>400</v>
      </c>
      <c r="BY176" s="13">
        <v>1</v>
      </c>
      <c r="BZ176" s="14">
        <f t="shared" si="53"/>
        <v>0.104</v>
      </c>
      <c r="CA176" s="13"/>
      <c r="CB176" s="14"/>
      <c r="CC176" s="13"/>
      <c r="CI176" s="7" t="s">
        <v>119</v>
      </c>
      <c r="CJ176" s="6">
        <f>SUM(CH143:CH163,CH106,CH87:CH102,CH86,CH39:CH75)</f>
        <v>492</v>
      </c>
      <c r="CK176" s="5">
        <f>SUM(CI143:CI163,CI106,CI87:CI102,CI86,CI39:CI75)</f>
        <v>19.119959999999995</v>
      </c>
      <c r="CN176" s="13">
        <v>6</v>
      </c>
      <c r="CO176" s="13">
        <v>15</v>
      </c>
      <c r="CP176" s="13">
        <v>400</v>
      </c>
      <c r="CQ176" s="13">
        <v>1</v>
      </c>
      <c r="CR176" s="14">
        <f t="shared" si="67"/>
        <v>3.5999999999999997E-2</v>
      </c>
      <c r="CS176" s="13"/>
      <c r="CT176" s="14"/>
      <c r="CU176" s="41"/>
      <c r="CW176" s="13">
        <v>8</v>
      </c>
      <c r="CX176" s="13">
        <v>25</v>
      </c>
      <c r="CY176" s="13">
        <v>400</v>
      </c>
      <c r="CZ176" s="13">
        <v>2</v>
      </c>
      <c r="DA176" s="14">
        <f t="shared" si="66"/>
        <v>0.16</v>
      </c>
      <c r="DB176" s="13"/>
      <c r="DC176" s="14"/>
      <c r="DD176" s="41"/>
      <c r="DF176" s="24" t="s">
        <v>10</v>
      </c>
      <c r="DG176" s="23" t="s">
        <v>9</v>
      </c>
      <c r="DH176" s="23" t="s">
        <v>8</v>
      </c>
      <c r="DI176" s="22" t="s">
        <v>7</v>
      </c>
      <c r="DJ176" s="21" t="s">
        <v>6</v>
      </c>
      <c r="DK176" s="22" t="s">
        <v>7</v>
      </c>
      <c r="DL176" s="21" t="s">
        <v>6</v>
      </c>
      <c r="DM176" s="230"/>
    </row>
    <row r="177" spans="2:117" ht="15.75" customHeight="1" x14ac:dyDescent="0.25">
      <c r="B177" s="13">
        <v>8</v>
      </c>
      <c r="C177" s="13">
        <v>10</v>
      </c>
      <c r="D177" s="13">
        <v>400</v>
      </c>
      <c r="E177" s="13">
        <v>6</v>
      </c>
      <c r="F177" s="20">
        <f t="shared" si="62"/>
        <v>0.192</v>
      </c>
      <c r="G177" s="13">
        <f>SUM(E172:E177)</f>
        <v>16</v>
      </c>
      <c r="H177" s="14">
        <f>SUM(F172:F177)</f>
        <v>0.80640000000000001</v>
      </c>
      <c r="I177" s="13"/>
      <c r="K177" s="4" t="s">
        <v>2</v>
      </c>
      <c r="L177" s="4"/>
      <c r="M177" s="6">
        <f>SUM(N110)</f>
        <v>793</v>
      </c>
      <c r="N177" s="5">
        <f>SUM(O110)</f>
        <v>12.044040000000001</v>
      </c>
      <c r="P177" s="4" t="s">
        <v>119</v>
      </c>
      <c r="Q177" s="6">
        <f>SUM(N157:N172,N119:N155,N74:N109,N52:N57,N60:N61,N42:N50,N37:N39,N8:N35,)</f>
        <v>991</v>
      </c>
      <c r="R177" s="5">
        <f>SUM(O157:O172,O119:O155,O74:O109,O52:O57,O60:O61,O42:O50,O37:O39,O8:O35,)</f>
        <v>33.805475000000015</v>
      </c>
      <c r="T177" s="13">
        <v>10</v>
      </c>
      <c r="U177" s="13">
        <v>13</v>
      </c>
      <c r="V177" s="13">
        <v>400</v>
      </c>
      <c r="W177" s="13">
        <v>1</v>
      </c>
      <c r="X177" s="14">
        <f t="shared" si="65"/>
        <v>5.1999999999999998E-2</v>
      </c>
      <c r="Y177" s="13">
        <f>SUM(W171:W177)</f>
        <v>64</v>
      </c>
      <c r="Z177" s="14">
        <f>SUM(X171:X177)</f>
        <v>5.1000000000000005</v>
      </c>
      <c r="AA177" s="13"/>
      <c r="AC177" s="231"/>
      <c r="AD177" s="231"/>
      <c r="AE177" s="231"/>
      <c r="AF177" s="231"/>
      <c r="AG177" s="231"/>
      <c r="AH177" s="231"/>
      <c r="AI177" s="231"/>
      <c r="AJ177" s="231"/>
      <c r="AL177" s="24" t="s">
        <v>10</v>
      </c>
      <c r="AM177" s="23" t="s">
        <v>9</v>
      </c>
      <c r="AN177" s="23" t="s">
        <v>8</v>
      </c>
      <c r="AO177" s="22" t="s">
        <v>7</v>
      </c>
      <c r="AP177" s="21" t="s">
        <v>6</v>
      </c>
      <c r="AQ177" s="22" t="s">
        <v>7</v>
      </c>
      <c r="AR177" s="21" t="s">
        <v>6</v>
      </c>
      <c r="AS177" s="230"/>
      <c r="AU177" s="13">
        <v>6</v>
      </c>
      <c r="AV177" s="13">
        <v>12</v>
      </c>
      <c r="AW177" s="13">
        <v>400</v>
      </c>
      <c r="AX177" s="13">
        <v>6</v>
      </c>
      <c r="AY177" s="14">
        <f t="shared" si="63"/>
        <v>0.17280000000000001</v>
      </c>
      <c r="AZ177" s="13"/>
      <c r="BA177" s="14"/>
      <c r="BB177" s="13"/>
      <c r="BD177" s="13">
        <v>8</v>
      </c>
      <c r="BE177" s="13">
        <v>10</v>
      </c>
      <c r="BF177" s="13">
        <v>400</v>
      </c>
      <c r="BG177" s="13">
        <v>3</v>
      </c>
      <c r="BH177" s="14">
        <f t="shared" si="55"/>
        <v>9.6000000000000002E-2</v>
      </c>
      <c r="BI177" s="13"/>
      <c r="BJ177" s="14"/>
      <c r="BK177" s="13"/>
      <c r="BM177" s="13">
        <v>10</v>
      </c>
      <c r="BN177" s="13">
        <v>13</v>
      </c>
      <c r="BO177" s="13">
        <v>400</v>
      </c>
      <c r="BP177" s="13">
        <v>1</v>
      </c>
      <c r="BQ177" s="14">
        <f t="shared" si="64"/>
        <v>5.1999999999999998E-2</v>
      </c>
      <c r="BR177" s="13"/>
      <c r="BS177" s="14"/>
      <c r="BT177" s="13"/>
      <c r="BV177" s="13">
        <v>15</v>
      </c>
      <c r="BW177" s="13">
        <v>25</v>
      </c>
      <c r="BX177" s="13">
        <v>400</v>
      </c>
      <c r="BY177" s="13">
        <v>7</v>
      </c>
      <c r="BZ177" s="14">
        <f t="shared" si="53"/>
        <v>1.05</v>
      </c>
      <c r="CA177" s="13"/>
      <c r="CB177" s="14"/>
      <c r="CC177" s="13"/>
      <c r="CI177" s="7" t="s">
        <v>149</v>
      </c>
      <c r="CJ177" s="6">
        <f>SUM(CH140:CH142,)</f>
        <v>218</v>
      </c>
      <c r="CK177" s="7">
        <f>SUM(CI140:CI142,)</f>
        <v>0.83279999999999998</v>
      </c>
      <c r="CN177" s="13">
        <v>10</v>
      </c>
      <c r="CO177" s="13">
        <v>17</v>
      </c>
      <c r="CP177" s="13">
        <v>400</v>
      </c>
      <c r="CQ177" s="13">
        <v>1</v>
      </c>
      <c r="CR177" s="14">
        <f t="shared" si="67"/>
        <v>6.8000000000000005E-2</v>
      </c>
      <c r="CS177" s="13"/>
      <c r="CT177" s="14"/>
      <c r="CU177" s="41"/>
      <c r="CW177" s="13">
        <v>10</v>
      </c>
      <c r="CX177" s="13">
        <v>25</v>
      </c>
      <c r="CY177" s="13">
        <v>400</v>
      </c>
      <c r="CZ177" s="13">
        <v>4</v>
      </c>
      <c r="DA177" s="14">
        <f t="shared" si="66"/>
        <v>0.4</v>
      </c>
      <c r="DB177" s="13"/>
      <c r="DC177" s="14"/>
      <c r="DD177" s="41"/>
      <c r="DF177" s="13">
        <v>15</v>
      </c>
      <c r="DG177" s="13">
        <v>33</v>
      </c>
      <c r="DH177" s="61">
        <v>400</v>
      </c>
      <c r="DI177" s="13">
        <v>3</v>
      </c>
      <c r="DJ177" s="14">
        <f t="shared" ref="DJ177:DJ212" si="68">DF177*DG177*DH177*DI177/1000000</f>
        <v>0.59399999999999997</v>
      </c>
      <c r="DK177" s="13"/>
      <c r="DL177" s="14"/>
      <c r="DM177" s="13"/>
    </row>
    <row r="178" spans="2:117" ht="16.5" customHeight="1" thickBot="1" x14ac:dyDescent="0.3">
      <c r="B178" s="13">
        <v>5</v>
      </c>
      <c r="C178" s="13">
        <v>15</v>
      </c>
      <c r="D178" s="13">
        <v>400</v>
      </c>
      <c r="E178" s="13">
        <v>3</v>
      </c>
      <c r="F178" s="20">
        <f t="shared" si="62"/>
        <v>0.09</v>
      </c>
      <c r="G178" s="13"/>
      <c r="H178" s="14"/>
      <c r="I178" s="13"/>
      <c r="K178" s="4" t="s">
        <v>1</v>
      </c>
      <c r="L178" s="4"/>
      <c r="M178" s="6">
        <f>SUM(N173)</f>
        <v>361</v>
      </c>
      <c r="N178" s="5">
        <f>SUM(O173)</f>
        <v>12.619034999999995</v>
      </c>
      <c r="P178" s="4"/>
      <c r="Q178" s="3">
        <f>SUM(Q176:Q177)</f>
        <v>1801</v>
      </c>
      <c r="R178" s="153">
        <f>SUM(R176:R177)</f>
        <v>37.355035000000015</v>
      </c>
      <c r="T178" s="13">
        <v>8</v>
      </c>
      <c r="U178" s="13">
        <v>23</v>
      </c>
      <c r="V178" s="13">
        <v>400</v>
      </c>
      <c r="W178" s="13">
        <v>2</v>
      </c>
      <c r="X178" s="14">
        <f t="shared" si="65"/>
        <v>0.1472</v>
      </c>
      <c r="Y178" s="13"/>
      <c r="Z178" s="14"/>
      <c r="AA178" s="13"/>
      <c r="AC178" s="28" t="s">
        <v>18</v>
      </c>
      <c r="AD178" s="27" t="s">
        <v>17</v>
      </c>
      <c r="AE178" s="26"/>
      <c r="AF178" s="26"/>
      <c r="AG178" s="26"/>
      <c r="AH178" s="26"/>
      <c r="AI178" s="232" t="s">
        <v>141</v>
      </c>
      <c r="AJ178" s="233"/>
      <c r="AL178" s="13">
        <v>9</v>
      </c>
      <c r="AM178" s="13">
        <v>20</v>
      </c>
      <c r="AN178" s="13">
        <v>400</v>
      </c>
      <c r="AO178" s="13">
        <v>1</v>
      </c>
      <c r="AP178" s="14">
        <f t="shared" ref="AP178:AP209" si="69">AL178*AM178*AN178*AO178/1000000</f>
        <v>7.1999999999999995E-2</v>
      </c>
      <c r="AQ178" s="13"/>
      <c r="AR178" s="14"/>
      <c r="AS178" s="13"/>
      <c r="AU178" s="13">
        <v>5</v>
      </c>
      <c r="AV178" s="13">
        <v>12</v>
      </c>
      <c r="AW178" s="13">
        <v>400</v>
      </c>
      <c r="AX178" s="13">
        <v>3</v>
      </c>
      <c r="AY178" s="14">
        <f t="shared" si="63"/>
        <v>7.1999999999999995E-2</v>
      </c>
      <c r="AZ178" s="13"/>
      <c r="BA178" s="14"/>
      <c r="BB178" s="13"/>
      <c r="BD178" s="13">
        <v>4.5</v>
      </c>
      <c r="BE178" s="13">
        <v>10</v>
      </c>
      <c r="BF178" s="13">
        <v>400</v>
      </c>
      <c r="BG178" s="13">
        <v>102</v>
      </c>
      <c r="BH178" s="14">
        <f t="shared" si="55"/>
        <v>1.8360000000000001</v>
      </c>
      <c r="BI178" s="13"/>
      <c r="BJ178" s="14"/>
      <c r="BK178" s="13"/>
      <c r="BM178" s="13">
        <v>7</v>
      </c>
      <c r="BN178" s="13">
        <v>13</v>
      </c>
      <c r="BO178" s="13">
        <v>400</v>
      </c>
      <c r="BP178" s="13">
        <v>3</v>
      </c>
      <c r="BQ178" s="14">
        <f t="shared" si="64"/>
        <v>0.10920000000000001</v>
      </c>
      <c r="BR178" s="13"/>
      <c r="BS178" s="14"/>
      <c r="BT178" s="13"/>
      <c r="BV178" s="13">
        <v>10</v>
      </c>
      <c r="BW178" s="13">
        <v>25</v>
      </c>
      <c r="BX178" s="13">
        <v>400</v>
      </c>
      <c r="BY178" s="13">
        <v>4</v>
      </c>
      <c r="BZ178" s="14">
        <f t="shared" si="53"/>
        <v>0.4</v>
      </c>
      <c r="CA178" s="13"/>
      <c r="CB178" s="14"/>
      <c r="CC178" s="13"/>
      <c r="CI178" s="7" t="s">
        <v>148</v>
      </c>
      <c r="CJ178" s="6">
        <f>SUM(CH117:CH139,CH8:CH38)</f>
        <v>178</v>
      </c>
      <c r="CK178" s="5">
        <f>SUM(CI117:CI139,CI8:CI38)</f>
        <v>6.5279999999999987</v>
      </c>
      <c r="CN178" s="13">
        <v>10</v>
      </c>
      <c r="CO178" s="13">
        <v>20</v>
      </c>
      <c r="CP178" s="13">
        <v>400</v>
      </c>
      <c r="CQ178" s="13">
        <v>1</v>
      </c>
      <c r="CR178" s="14">
        <f t="shared" si="67"/>
        <v>0.08</v>
      </c>
      <c r="CS178" s="13"/>
      <c r="CT178" s="14"/>
      <c r="CU178" s="41"/>
      <c r="CW178" s="13">
        <v>15</v>
      </c>
      <c r="CX178" s="13">
        <v>25</v>
      </c>
      <c r="CY178" s="13">
        <v>400</v>
      </c>
      <c r="CZ178" s="13">
        <v>4</v>
      </c>
      <c r="DA178" s="14">
        <f t="shared" si="66"/>
        <v>0.6</v>
      </c>
      <c r="DB178" s="13"/>
      <c r="DC178" s="14"/>
      <c r="DD178" s="41"/>
      <c r="DF178" s="13">
        <v>13</v>
      </c>
      <c r="DG178" s="13">
        <v>33</v>
      </c>
      <c r="DH178" s="61">
        <v>400</v>
      </c>
      <c r="DI178" s="13">
        <v>3</v>
      </c>
      <c r="DJ178" s="14">
        <f t="shared" si="68"/>
        <v>0.51480000000000004</v>
      </c>
      <c r="DK178" s="13"/>
      <c r="DL178" s="14"/>
      <c r="DM178" s="13"/>
    </row>
    <row r="179" spans="2:117" ht="17.25" customHeight="1" thickTop="1" thickBot="1" x14ac:dyDescent="0.3">
      <c r="B179" s="13">
        <v>5</v>
      </c>
      <c r="C179" s="13">
        <v>15</v>
      </c>
      <c r="D179" s="13">
        <v>400</v>
      </c>
      <c r="E179" s="13">
        <v>1</v>
      </c>
      <c r="F179" s="20">
        <f t="shared" si="62"/>
        <v>0.03</v>
      </c>
      <c r="G179" s="13"/>
      <c r="H179" s="14"/>
      <c r="I179" s="13"/>
      <c r="K179" s="4"/>
      <c r="L179" s="4"/>
      <c r="M179" s="3">
        <f>SUM(M176:M178)</f>
        <v>1801</v>
      </c>
      <c r="N179" s="2">
        <f>SUM(N176:N178)</f>
        <v>37.355035000000001</v>
      </c>
      <c r="P179" s="4"/>
      <c r="Q179" s="4"/>
      <c r="R179" s="4"/>
      <c r="T179" s="13">
        <v>8</v>
      </c>
      <c r="U179" s="13">
        <v>20</v>
      </c>
      <c r="V179" s="13">
        <v>400</v>
      </c>
      <c r="W179" s="13">
        <v>5</v>
      </c>
      <c r="X179" s="14">
        <f t="shared" si="65"/>
        <v>0.32</v>
      </c>
      <c r="Y179" s="13"/>
      <c r="Z179" s="14"/>
      <c r="AA179" s="13"/>
      <c r="AC179" s="28" t="s">
        <v>16</v>
      </c>
      <c r="AD179" s="27" t="s">
        <v>15</v>
      </c>
      <c r="AE179" s="26"/>
      <c r="AF179" s="26"/>
      <c r="AG179" s="26"/>
      <c r="AH179" s="26"/>
      <c r="AI179" s="234"/>
      <c r="AJ179" s="235"/>
      <c r="AL179" s="13">
        <v>8</v>
      </c>
      <c r="AM179" s="13">
        <v>20</v>
      </c>
      <c r="AN179" s="13">
        <v>400</v>
      </c>
      <c r="AO179" s="13">
        <v>1</v>
      </c>
      <c r="AP179" s="14">
        <f t="shared" si="69"/>
        <v>6.4000000000000001E-2</v>
      </c>
      <c r="AQ179" s="13"/>
      <c r="AR179" s="14"/>
      <c r="AS179" s="13"/>
      <c r="AU179" s="13">
        <v>4</v>
      </c>
      <c r="AV179" s="13">
        <v>12</v>
      </c>
      <c r="AW179" s="13">
        <v>400</v>
      </c>
      <c r="AX179" s="13">
        <v>1</v>
      </c>
      <c r="AY179" s="14">
        <f t="shared" si="63"/>
        <v>1.9199999999999998E-2</v>
      </c>
      <c r="AZ179" s="13"/>
      <c r="BA179" s="14"/>
      <c r="BB179" s="13"/>
      <c r="BD179" s="13">
        <v>10</v>
      </c>
      <c r="BE179" s="13">
        <v>10</v>
      </c>
      <c r="BF179" s="13">
        <v>400</v>
      </c>
      <c r="BG179" s="13">
        <v>5</v>
      </c>
      <c r="BH179" s="14">
        <f t="shared" si="55"/>
        <v>0.2</v>
      </c>
      <c r="BI179" s="13"/>
      <c r="BJ179" s="14"/>
      <c r="BK179" s="13"/>
      <c r="BM179" s="13">
        <v>4.5</v>
      </c>
      <c r="BN179" s="13">
        <v>13</v>
      </c>
      <c r="BO179" s="13">
        <v>400</v>
      </c>
      <c r="BP179" s="13">
        <v>1</v>
      </c>
      <c r="BQ179" s="14">
        <f t="shared" si="64"/>
        <v>2.3400000000000001E-2</v>
      </c>
      <c r="BR179" s="13"/>
      <c r="BS179" s="14"/>
      <c r="BT179" s="13"/>
      <c r="BV179" s="13">
        <v>3.5</v>
      </c>
      <c r="BW179" s="13">
        <v>20</v>
      </c>
      <c r="BX179" s="13">
        <v>400</v>
      </c>
      <c r="BY179" s="13">
        <v>4</v>
      </c>
      <c r="BZ179" s="14">
        <f t="shared" si="53"/>
        <v>0.112</v>
      </c>
      <c r="CA179" s="13"/>
      <c r="CB179" s="14"/>
      <c r="CC179" s="13"/>
      <c r="CI179" s="4"/>
      <c r="CJ179" s="3">
        <f>SUM(CJ175:CJ178)</f>
        <v>2855</v>
      </c>
      <c r="CK179" s="53">
        <f>SUM(CK175:CK178)</f>
        <v>35.871159999999989</v>
      </c>
      <c r="CN179" s="13">
        <v>6</v>
      </c>
      <c r="CO179" s="13">
        <v>20</v>
      </c>
      <c r="CP179" s="13">
        <v>400</v>
      </c>
      <c r="CQ179" s="13">
        <v>1</v>
      </c>
      <c r="CR179" s="14">
        <f t="shared" si="67"/>
        <v>4.8000000000000001E-2</v>
      </c>
      <c r="CS179" s="13"/>
      <c r="CT179" s="14"/>
      <c r="CU179" s="41"/>
      <c r="CW179" s="13">
        <v>10</v>
      </c>
      <c r="CX179" s="13">
        <v>30</v>
      </c>
      <c r="CY179" s="13">
        <v>400</v>
      </c>
      <c r="CZ179" s="13">
        <v>4</v>
      </c>
      <c r="DA179" s="14">
        <f t="shared" si="66"/>
        <v>0.48</v>
      </c>
      <c r="DB179" s="13"/>
      <c r="DC179" s="14"/>
      <c r="DD179" s="41"/>
      <c r="DF179" s="13">
        <v>10</v>
      </c>
      <c r="DG179" s="13">
        <v>33</v>
      </c>
      <c r="DH179" s="61">
        <v>400</v>
      </c>
      <c r="DI179" s="13">
        <v>1</v>
      </c>
      <c r="DJ179" s="14">
        <f t="shared" si="68"/>
        <v>0.13200000000000001</v>
      </c>
      <c r="DK179" s="13"/>
      <c r="DL179" s="14"/>
      <c r="DM179" s="13"/>
    </row>
    <row r="180" spans="2:117" ht="16.5" thickTop="1" x14ac:dyDescent="0.25">
      <c r="B180" s="13">
        <v>5</v>
      </c>
      <c r="C180" s="13">
        <v>8</v>
      </c>
      <c r="D180" s="13">
        <v>400</v>
      </c>
      <c r="E180" s="13">
        <v>10</v>
      </c>
      <c r="F180" s="20">
        <f t="shared" si="62"/>
        <v>0.16</v>
      </c>
      <c r="G180" s="13">
        <f>SUM(E178:E180)</f>
        <v>14</v>
      </c>
      <c r="H180" s="14">
        <f>SUM(F178:F180)</f>
        <v>0.28000000000000003</v>
      </c>
      <c r="I180" s="13"/>
      <c r="T180" s="13">
        <v>8</v>
      </c>
      <c r="U180" s="13">
        <v>18</v>
      </c>
      <c r="V180" s="13">
        <v>400</v>
      </c>
      <c r="W180" s="13">
        <v>1</v>
      </c>
      <c r="X180" s="14">
        <f t="shared" si="65"/>
        <v>5.7599999999999998E-2</v>
      </c>
      <c r="Y180" s="13"/>
      <c r="Z180" s="14"/>
      <c r="AA180" s="13"/>
      <c r="AC180" s="25"/>
      <c r="AD180" s="25"/>
      <c r="AE180" s="25"/>
      <c r="AF180" s="25"/>
      <c r="AG180" s="25"/>
      <c r="AH180" s="225" t="s">
        <v>54</v>
      </c>
      <c r="AI180" s="225"/>
      <c r="AJ180" s="225"/>
      <c r="AL180" s="13">
        <v>6</v>
      </c>
      <c r="AM180" s="13">
        <v>20</v>
      </c>
      <c r="AN180" s="13">
        <v>400</v>
      </c>
      <c r="AO180" s="13">
        <v>5</v>
      </c>
      <c r="AP180" s="14">
        <f t="shared" si="69"/>
        <v>0.24</v>
      </c>
      <c r="AQ180" s="13"/>
      <c r="AR180" s="14"/>
      <c r="AS180" s="13"/>
      <c r="AU180" s="13">
        <v>3</v>
      </c>
      <c r="AV180" s="13">
        <v>12</v>
      </c>
      <c r="AW180" s="13">
        <v>400</v>
      </c>
      <c r="AX180" s="13">
        <v>3</v>
      </c>
      <c r="AY180" s="14">
        <f t="shared" si="63"/>
        <v>4.3200000000000002E-2</v>
      </c>
      <c r="AZ180" s="13"/>
      <c r="BA180" s="14"/>
      <c r="BB180" s="13"/>
      <c r="BD180" s="13">
        <v>1.7</v>
      </c>
      <c r="BE180" s="13">
        <v>10</v>
      </c>
      <c r="BF180" s="13">
        <v>400</v>
      </c>
      <c r="BG180" s="13">
        <v>2</v>
      </c>
      <c r="BH180" s="14">
        <f t="shared" si="55"/>
        <v>1.3599999999999999E-2</v>
      </c>
      <c r="BI180" s="13"/>
      <c r="BJ180" s="14"/>
      <c r="BK180" s="13"/>
      <c r="BM180" s="13">
        <v>10</v>
      </c>
      <c r="BN180" s="13">
        <v>10</v>
      </c>
      <c r="BO180" s="13">
        <v>400</v>
      </c>
      <c r="BP180" s="13">
        <v>3</v>
      </c>
      <c r="BQ180" s="14">
        <f t="shared" si="64"/>
        <v>0.12</v>
      </c>
      <c r="BR180" s="13"/>
      <c r="BS180" s="14"/>
      <c r="BT180" s="13"/>
      <c r="BV180" s="13">
        <v>4.5</v>
      </c>
      <c r="BW180" s="13">
        <v>20</v>
      </c>
      <c r="BX180" s="13">
        <v>400</v>
      </c>
      <c r="BY180" s="13">
        <v>10</v>
      </c>
      <c r="BZ180" s="14">
        <f t="shared" si="53"/>
        <v>0.36</v>
      </c>
      <c r="CA180" s="13"/>
      <c r="CB180" s="14"/>
      <c r="CC180" s="13"/>
      <c r="CN180" s="57">
        <v>2</v>
      </c>
      <c r="CO180" s="57">
        <v>3</v>
      </c>
      <c r="CP180" s="57">
        <v>400</v>
      </c>
      <c r="CQ180" s="57">
        <v>25</v>
      </c>
      <c r="CR180" s="56">
        <f t="shared" si="67"/>
        <v>0.06</v>
      </c>
      <c r="CS180" s="57"/>
      <c r="CT180" s="56"/>
      <c r="CU180" s="140"/>
      <c r="CW180" s="13">
        <v>3.5</v>
      </c>
      <c r="CX180" s="13">
        <v>25</v>
      </c>
      <c r="CY180" s="13">
        <v>400</v>
      </c>
      <c r="CZ180" s="13">
        <v>2</v>
      </c>
      <c r="DA180" s="14">
        <f t="shared" si="66"/>
        <v>7.0000000000000007E-2</v>
      </c>
      <c r="DB180" s="13"/>
      <c r="DC180" s="14"/>
      <c r="DD180" s="41"/>
      <c r="DF180" s="13">
        <v>15</v>
      </c>
      <c r="DG180" s="13">
        <v>30</v>
      </c>
      <c r="DH180" s="61">
        <v>400</v>
      </c>
      <c r="DI180" s="13">
        <v>1</v>
      </c>
      <c r="DJ180" s="14">
        <f t="shared" si="68"/>
        <v>0.18</v>
      </c>
      <c r="DK180" s="13"/>
      <c r="DL180" s="14"/>
      <c r="DM180" s="13"/>
    </row>
    <row r="181" spans="2:117" ht="15.75" x14ac:dyDescent="0.25">
      <c r="B181" s="13">
        <v>4.2</v>
      </c>
      <c r="C181" s="13">
        <v>10</v>
      </c>
      <c r="D181" s="13">
        <v>300</v>
      </c>
      <c r="E181" s="13">
        <v>4</v>
      </c>
      <c r="F181" s="20">
        <f t="shared" si="62"/>
        <v>5.04E-2</v>
      </c>
      <c r="G181" s="13">
        <f>SUM(E181)</f>
        <v>4</v>
      </c>
      <c r="H181" s="14">
        <f>SUM(F181)</f>
        <v>5.04E-2</v>
      </c>
      <c r="I181" s="13"/>
      <c r="K181" s="231" t="s">
        <v>19</v>
      </c>
      <c r="L181" s="231"/>
      <c r="M181" s="231"/>
      <c r="N181" s="231"/>
      <c r="O181" s="231"/>
      <c r="P181" s="231"/>
      <c r="Q181" s="231"/>
      <c r="R181" s="231"/>
      <c r="T181" s="13">
        <v>8</v>
      </c>
      <c r="U181" s="13">
        <v>15</v>
      </c>
      <c r="V181" s="13">
        <v>400</v>
      </c>
      <c r="W181" s="13">
        <v>5</v>
      </c>
      <c r="X181" s="14">
        <f t="shared" si="65"/>
        <v>0.24</v>
      </c>
      <c r="Y181" s="13"/>
      <c r="Z181" s="14"/>
      <c r="AA181" s="13"/>
      <c r="AC181" s="226" t="s">
        <v>13</v>
      </c>
      <c r="AD181" s="227"/>
      <c r="AE181" s="228"/>
      <c r="AF181" s="227" t="s">
        <v>12</v>
      </c>
      <c r="AG181" s="228"/>
      <c r="AH181" s="227" t="s">
        <v>12</v>
      </c>
      <c r="AI181" s="228"/>
      <c r="AJ181" s="229" t="s">
        <v>11</v>
      </c>
      <c r="AL181" s="13">
        <v>5</v>
      </c>
      <c r="AM181" s="13">
        <v>20</v>
      </c>
      <c r="AN181" s="13">
        <v>400</v>
      </c>
      <c r="AO181" s="13">
        <v>1</v>
      </c>
      <c r="AP181" s="14">
        <f t="shared" si="69"/>
        <v>0.04</v>
      </c>
      <c r="AQ181" s="13"/>
      <c r="AR181" s="14"/>
      <c r="AS181" s="13"/>
      <c r="AU181" s="13">
        <v>2</v>
      </c>
      <c r="AV181" s="13">
        <v>12</v>
      </c>
      <c r="AW181" s="13">
        <v>400</v>
      </c>
      <c r="AX181" s="13">
        <v>1</v>
      </c>
      <c r="AY181" s="14">
        <f t="shared" si="63"/>
        <v>9.5999999999999992E-3</v>
      </c>
      <c r="AZ181" s="13"/>
      <c r="BA181" s="14"/>
      <c r="BB181" s="13"/>
      <c r="BD181" s="122">
        <v>5</v>
      </c>
      <c r="BE181" s="122">
        <v>7</v>
      </c>
      <c r="BF181" s="122">
        <v>400</v>
      </c>
      <c r="BG181" s="122">
        <v>228</v>
      </c>
      <c r="BH181" s="123">
        <f t="shared" si="55"/>
        <v>3.1920000000000002</v>
      </c>
      <c r="BI181" s="122">
        <f>SUM(BG143:BG181)</f>
        <v>522</v>
      </c>
      <c r="BJ181" s="125">
        <f>SUM(BH143:BH181)</f>
        <v>11.351439999999998</v>
      </c>
      <c r="BK181" s="126" t="s">
        <v>23</v>
      </c>
      <c r="BM181" s="13">
        <v>7</v>
      </c>
      <c r="BN181" s="13">
        <v>10</v>
      </c>
      <c r="BO181" s="13">
        <v>400</v>
      </c>
      <c r="BP181" s="13">
        <v>4</v>
      </c>
      <c r="BQ181" s="14">
        <f t="shared" si="64"/>
        <v>0.112</v>
      </c>
      <c r="BR181" s="13"/>
      <c r="BS181" s="14"/>
      <c r="BT181" s="13"/>
      <c r="BV181" s="13">
        <v>7</v>
      </c>
      <c r="BW181" s="13">
        <v>20</v>
      </c>
      <c r="BX181" s="13">
        <v>400</v>
      </c>
      <c r="BY181" s="13">
        <v>5</v>
      </c>
      <c r="BZ181" s="14">
        <f t="shared" si="53"/>
        <v>0.28000000000000003</v>
      </c>
      <c r="CA181" s="13"/>
      <c r="CB181" s="14"/>
      <c r="CC181" s="13"/>
      <c r="CE181" s="231" t="s">
        <v>19</v>
      </c>
      <c r="CF181" s="231"/>
      <c r="CG181" s="231"/>
      <c r="CH181" s="231"/>
      <c r="CI181" s="231"/>
      <c r="CJ181" s="231"/>
      <c r="CK181" s="231"/>
      <c r="CL181" s="231"/>
      <c r="CN181" s="57">
        <v>4</v>
      </c>
      <c r="CO181" s="57">
        <v>6</v>
      </c>
      <c r="CP181" s="57">
        <v>400</v>
      </c>
      <c r="CQ181" s="57">
        <v>12</v>
      </c>
      <c r="CR181" s="56">
        <f t="shared" si="67"/>
        <v>0.1152</v>
      </c>
      <c r="CS181" s="57"/>
      <c r="CT181" s="56"/>
      <c r="CU181" s="140"/>
      <c r="CW181" s="13">
        <v>7</v>
      </c>
      <c r="CX181" s="13">
        <v>30</v>
      </c>
      <c r="CY181" s="13">
        <v>400</v>
      </c>
      <c r="CZ181" s="13">
        <v>1</v>
      </c>
      <c r="DA181" s="14">
        <f t="shared" si="66"/>
        <v>8.4000000000000005E-2</v>
      </c>
      <c r="DB181" s="13"/>
      <c r="DC181" s="14"/>
      <c r="DD181" s="41"/>
      <c r="DF181" s="13">
        <v>13</v>
      </c>
      <c r="DG181" s="13">
        <v>30</v>
      </c>
      <c r="DH181" s="61">
        <v>400</v>
      </c>
      <c r="DI181" s="13">
        <v>3</v>
      </c>
      <c r="DJ181" s="14">
        <f t="shared" si="68"/>
        <v>0.46800000000000003</v>
      </c>
      <c r="DK181" s="13"/>
      <c r="DL181" s="14"/>
      <c r="DM181" s="13"/>
    </row>
    <row r="182" spans="2:117" ht="16.5" thickBot="1" x14ac:dyDescent="0.3">
      <c r="B182" s="13">
        <v>4</v>
      </c>
      <c r="C182" s="13">
        <v>10</v>
      </c>
      <c r="D182" s="13">
        <v>400</v>
      </c>
      <c r="E182" s="13">
        <v>30</v>
      </c>
      <c r="F182" s="20">
        <f t="shared" si="62"/>
        <v>0.48</v>
      </c>
      <c r="G182" s="13"/>
      <c r="H182" s="14"/>
      <c r="I182" s="13"/>
      <c r="K182" s="231"/>
      <c r="L182" s="231"/>
      <c r="M182" s="231"/>
      <c r="N182" s="231"/>
      <c r="O182" s="231"/>
      <c r="P182" s="231"/>
      <c r="Q182" s="231"/>
      <c r="R182" s="231"/>
      <c r="T182" s="13">
        <v>8</v>
      </c>
      <c r="U182" s="13">
        <v>13</v>
      </c>
      <c r="V182" s="13">
        <v>400</v>
      </c>
      <c r="W182" s="13">
        <v>1</v>
      </c>
      <c r="X182" s="14">
        <f t="shared" si="65"/>
        <v>4.1599999999999998E-2</v>
      </c>
      <c r="Y182" s="13">
        <f>SUM(W178:W182)</f>
        <v>14</v>
      </c>
      <c r="Z182" s="14">
        <f>SUM(X178:X182)</f>
        <v>0.80640000000000001</v>
      </c>
      <c r="AA182" s="13"/>
      <c r="AC182" s="24" t="s">
        <v>10</v>
      </c>
      <c r="AD182" s="23" t="s">
        <v>9</v>
      </c>
      <c r="AE182" s="23" t="s">
        <v>8</v>
      </c>
      <c r="AF182" s="22" t="s">
        <v>7</v>
      </c>
      <c r="AG182" s="21" t="s">
        <v>6</v>
      </c>
      <c r="AH182" s="22" t="s">
        <v>7</v>
      </c>
      <c r="AI182" s="21" t="s">
        <v>6</v>
      </c>
      <c r="AJ182" s="230"/>
      <c r="AL182" s="13">
        <v>8</v>
      </c>
      <c r="AM182" s="13">
        <v>15</v>
      </c>
      <c r="AN182" s="13">
        <v>400</v>
      </c>
      <c r="AO182" s="13">
        <v>3</v>
      </c>
      <c r="AP182" s="14">
        <f t="shared" si="69"/>
        <v>0.14399999999999999</v>
      </c>
      <c r="AQ182" s="13"/>
      <c r="AR182" s="14"/>
      <c r="AS182" s="13"/>
      <c r="AU182" s="13">
        <v>10</v>
      </c>
      <c r="AV182" s="13">
        <v>10</v>
      </c>
      <c r="AW182" s="13">
        <v>400</v>
      </c>
      <c r="AX182" s="13">
        <v>1</v>
      </c>
      <c r="AY182" s="14">
        <f t="shared" si="63"/>
        <v>0.04</v>
      </c>
      <c r="AZ182" s="13"/>
      <c r="BA182" s="14"/>
      <c r="BB182" s="13"/>
      <c r="BD182" s="239" t="s">
        <v>52</v>
      </c>
      <c r="BE182" s="239"/>
      <c r="BF182" s="240"/>
      <c r="BG182" s="98">
        <f>SUM(BG143:BG181)</f>
        <v>522</v>
      </c>
      <c r="BH182" s="103">
        <f>SUM(BH143:BH181)</f>
        <v>11.351439999999998</v>
      </c>
      <c r="BI182" s="98">
        <f>SUM(BI143:BI181)</f>
        <v>522</v>
      </c>
      <c r="BJ182" s="103">
        <f>SUM(BJ143:BJ181)</f>
        <v>11.351439999999998</v>
      </c>
      <c r="BK182" s="104"/>
      <c r="BM182" s="13">
        <v>4.5</v>
      </c>
      <c r="BN182" s="13">
        <v>10</v>
      </c>
      <c r="BO182" s="13">
        <v>400</v>
      </c>
      <c r="BP182" s="13">
        <v>88</v>
      </c>
      <c r="BQ182" s="14">
        <f t="shared" si="64"/>
        <v>1.5840000000000001</v>
      </c>
      <c r="BR182" s="13"/>
      <c r="BS182" s="14"/>
      <c r="BT182" s="13"/>
      <c r="BV182" s="13">
        <v>10</v>
      </c>
      <c r="BW182" s="13">
        <v>20</v>
      </c>
      <c r="BX182" s="13">
        <v>400</v>
      </c>
      <c r="BY182" s="13">
        <v>7</v>
      </c>
      <c r="BZ182" s="14">
        <f t="shared" si="53"/>
        <v>0.56000000000000005</v>
      </c>
      <c r="CA182" s="13"/>
      <c r="CB182" s="14"/>
      <c r="CC182" s="13"/>
      <c r="CE182" s="231"/>
      <c r="CF182" s="231"/>
      <c r="CG182" s="231"/>
      <c r="CH182" s="231"/>
      <c r="CI182" s="231"/>
      <c r="CJ182" s="231"/>
      <c r="CK182" s="231"/>
      <c r="CL182" s="231"/>
      <c r="CN182" s="57">
        <v>3</v>
      </c>
      <c r="CO182" s="57">
        <v>5</v>
      </c>
      <c r="CP182" s="57">
        <v>400</v>
      </c>
      <c r="CQ182" s="57">
        <v>20</v>
      </c>
      <c r="CR182" s="56">
        <f t="shared" si="67"/>
        <v>0.12</v>
      </c>
      <c r="CS182" s="57">
        <f>SUM(CQ170:CQ182)</f>
        <v>82</v>
      </c>
      <c r="CT182" s="56">
        <f>SUM(CR170:CR182)</f>
        <v>0.94919999999999993</v>
      </c>
      <c r="CU182" s="140" t="s">
        <v>21</v>
      </c>
      <c r="CW182" s="13">
        <v>2.2000000000000002</v>
      </c>
      <c r="CX182" s="13">
        <v>25</v>
      </c>
      <c r="CY182" s="13">
        <v>400</v>
      </c>
      <c r="CZ182" s="13">
        <v>1</v>
      </c>
      <c r="DA182" s="14">
        <f t="shared" si="66"/>
        <v>2.2000000000000002E-2</v>
      </c>
      <c r="DB182" s="13"/>
      <c r="DC182" s="14"/>
      <c r="DD182" s="41"/>
      <c r="DF182" s="13">
        <v>15</v>
      </c>
      <c r="DG182" s="13">
        <v>28</v>
      </c>
      <c r="DH182" s="61">
        <v>400</v>
      </c>
      <c r="DI182" s="13">
        <v>2</v>
      </c>
      <c r="DJ182" s="14">
        <f t="shared" si="68"/>
        <v>0.33600000000000002</v>
      </c>
      <c r="DK182" s="13"/>
      <c r="DL182" s="14"/>
      <c r="DM182" s="41"/>
    </row>
    <row r="183" spans="2:117" ht="16.5" thickTop="1" x14ac:dyDescent="0.25">
      <c r="B183" s="122">
        <v>4</v>
      </c>
      <c r="C183" s="122">
        <v>7</v>
      </c>
      <c r="D183" s="122">
        <v>400</v>
      </c>
      <c r="E183" s="122">
        <v>1</v>
      </c>
      <c r="F183" s="132">
        <f t="shared" si="62"/>
        <v>1.12E-2</v>
      </c>
      <c r="G183" s="122">
        <f>SUM(E182:E183)</f>
        <v>31</v>
      </c>
      <c r="H183" s="123">
        <f>SUM(F182:F183)</f>
        <v>0.49119999999999997</v>
      </c>
      <c r="I183" s="122"/>
      <c r="K183" s="28" t="s">
        <v>18</v>
      </c>
      <c r="L183" s="27" t="s">
        <v>34</v>
      </c>
      <c r="M183" s="26"/>
      <c r="N183" s="26"/>
      <c r="O183" s="26"/>
      <c r="P183" s="26"/>
      <c r="Q183" s="232" t="s">
        <v>145</v>
      </c>
      <c r="R183" s="233"/>
      <c r="T183" s="13">
        <v>4.5</v>
      </c>
      <c r="U183" s="13">
        <v>25</v>
      </c>
      <c r="V183" s="13">
        <v>400</v>
      </c>
      <c r="W183" s="13">
        <v>1</v>
      </c>
      <c r="X183" s="14">
        <f t="shared" si="65"/>
        <v>4.4999999999999998E-2</v>
      </c>
      <c r="Y183" s="13"/>
      <c r="Z183" s="14"/>
      <c r="AA183" s="13"/>
      <c r="AC183" s="13">
        <v>15</v>
      </c>
      <c r="AD183" s="13">
        <v>27</v>
      </c>
      <c r="AE183" s="13">
        <v>400</v>
      </c>
      <c r="AF183" s="13">
        <v>1</v>
      </c>
      <c r="AG183" s="14">
        <f t="shared" ref="AG183:AG209" si="70">AC183*AD183*AE183*AF183/1000000</f>
        <v>0.16200000000000001</v>
      </c>
      <c r="AH183" s="13"/>
      <c r="AI183" s="14"/>
      <c r="AJ183" s="58" t="s">
        <v>21</v>
      </c>
      <c r="AL183" s="13">
        <v>10</v>
      </c>
      <c r="AM183" s="13">
        <v>15</v>
      </c>
      <c r="AN183" s="13">
        <v>400</v>
      </c>
      <c r="AO183" s="13">
        <v>5</v>
      </c>
      <c r="AP183" s="14">
        <f t="shared" si="69"/>
        <v>0.3</v>
      </c>
      <c r="AQ183" s="13"/>
      <c r="AR183" s="14"/>
      <c r="AS183" s="13"/>
      <c r="AU183" s="13">
        <v>7</v>
      </c>
      <c r="AV183" s="13">
        <v>10</v>
      </c>
      <c r="AW183" s="13">
        <v>400</v>
      </c>
      <c r="AX183" s="13">
        <v>2</v>
      </c>
      <c r="AY183" s="14">
        <f t="shared" si="63"/>
        <v>5.6000000000000001E-2</v>
      </c>
      <c r="AZ183" s="13"/>
      <c r="BA183" s="14"/>
      <c r="BB183" s="13"/>
      <c r="BM183" s="13">
        <v>2.2000000000000002</v>
      </c>
      <c r="BN183" s="13">
        <v>10</v>
      </c>
      <c r="BO183" s="13">
        <v>400</v>
      </c>
      <c r="BP183" s="13">
        <v>39</v>
      </c>
      <c r="BQ183" s="14">
        <f t="shared" si="64"/>
        <v>0.34320000000000001</v>
      </c>
      <c r="BR183" s="13"/>
      <c r="BS183" s="14"/>
      <c r="BT183" s="13"/>
      <c r="BV183" s="13">
        <v>2.2000000000000002</v>
      </c>
      <c r="BW183" s="13">
        <v>20</v>
      </c>
      <c r="BX183" s="13">
        <v>400</v>
      </c>
      <c r="BY183" s="13">
        <v>3</v>
      </c>
      <c r="BZ183" s="14">
        <f t="shared" si="53"/>
        <v>5.28E-2</v>
      </c>
      <c r="CA183" s="13"/>
      <c r="CB183" s="14"/>
      <c r="CC183" s="13"/>
      <c r="CE183" s="28" t="s">
        <v>18</v>
      </c>
      <c r="CF183" s="27" t="s">
        <v>121</v>
      </c>
      <c r="CG183" s="26"/>
      <c r="CH183" s="26"/>
      <c r="CI183" s="26"/>
      <c r="CJ183" s="26"/>
      <c r="CK183" s="232" t="s">
        <v>151</v>
      </c>
      <c r="CL183" s="233"/>
      <c r="CN183" s="13">
        <v>7</v>
      </c>
      <c r="CO183" s="13">
        <v>25</v>
      </c>
      <c r="CP183" s="13">
        <v>400</v>
      </c>
      <c r="CQ183" s="13">
        <v>2</v>
      </c>
      <c r="CR183" s="14">
        <f t="shared" si="67"/>
        <v>0.14000000000000001</v>
      </c>
      <c r="CS183" s="13"/>
      <c r="CT183" s="14"/>
      <c r="CU183" s="41"/>
      <c r="CW183" s="13">
        <v>10</v>
      </c>
      <c r="CX183" s="13">
        <v>33</v>
      </c>
      <c r="CY183" s="13">
        <v>400</v>
      </c>
      <c r="CZ183" s="13">
        <v>2</v>
      </c>
      <c r="DA183" s="14">
        <f t="shared" si="66"/>
        <v>0.26400000000000001</v>
      </c>
      <c r="DB183" s="13"/>
      <c r="DC183" s="14"/>
      <c r="DD183" s="41"/>
      <c r="DF183" s="13">
        <v>10</v>
      </c>
      <c r="DG183" s="13">
        <v>30</v>
      </c>
      <c r="DH183" s="61">
        <v>400</v>
      </c>
      <c r="DI183" s="13">
        <v>2</v>
      </c>
      <c r="DJ183" s="14">
        <f t="shared" si="68"/>
        <v>0.24</v>
      </c>
      <c r="DK183" s="13"/>
      <c r="DL183" s="14"/>
      <c r="DM183" s="41"/>
    </row>
    <row r="184" spans="2:117" ht="15.75" x14ac:dyDescent="0.25">
      <c r="B184" s="13">
        <v>3.2</v>
      </c>
      <c r="C184" s="13">
        <v>13</v>
      </c>
      <c r="D184" s="13">
        <v>400</v>
      </c>
      <c r="E184" s="13">
        <v>15</v>
      </c>
      <c r="F184" s="20">
        <f t="shared" si="62"/>
        <v>0.24959999999999999</v>
      </c>
      <c r="G184" s="13"/>
      <c r="H184" s="14"/>
      <c r="I184" s="13"/>
      <c r="K184" s="28" t="s">
        <v>16</v>
      </c>
      <c r="L184" s="27" t="s">
        <v>33</v>
      </c>
      <c r="M184" s="26"/>
      <c r="N184" s="26"/>
      <c r="O184" s="26"/>
      <c r="P184" s="26"/>
      <c r="Q184" s="234"/>
      <c r="R184" s="235"/>
      <c r="T184" s="13">
        <v>4.5</v>
      </c>
      <c r="U184" s="13">
        <v>23</v>
      </c>
      <c r="V184" s="13">
        <v>400</v>
      </c>
      <c r="W184" s="13">
        <v>2</v>
      </c>
      <c r="X184" s="14">
        <f t="shared" si="65"/>
        <v>8.2799999999999999E-2</v>
      </c>
      <c r="Y184" s="13"/>
      <c r="Z184" s="14"/>
      <c r="AA184" s="13"/>
      <c r="AC184" s="13">
        <v>15</v>
      </c>
      <c r="AD184" s="13">
        <v>26</v>
      </c>
      <c r="AE184" s="13">
        <v>400</v>
      </c>
      <c r="AF184" s="13">
        <v>2</v>
      </c>
      <c r="AG184" s="14">
        <f t="shared" si="70"/>
        <v>0.312</v>
      </c>
      <c r="AH184" s="13"/>
      <c r="AI184" s="14"/>
      <c r="AJ184" s="58" t="s">
        <v>21</v>
      </c>
      <c r="AL184" s="13">
        <v>6</v>
      </c>
      <c r="AM184" s="13">
        <v>15</v>
      </c>
      <c r="AN184" s="13">
        <v>400</v>
      </c>
      <c r="AO184" s="13">
        <v>16</v>
      </c>
      <c r="AP184" s="14">
        <f t="shared" si="69"/>
        <v>0.57599999999999996</v>
      </c>
      <c r="AQ184" s="13"/>
      <c r="AR184" s="14"/>
      <c r="AS184" s="13"/>
      <c r="AU184" s="13">
        <v>6</v>
      </c>
      <c r="AV184" s="13">
        <v>10</v>
      </c>
      <c r="AW184" s="13">
        <v>400</v>
      </c>
      <c r="AX184" s="13">
        <v>7</v>
      </c>
      <c r="AY184" s="14">
        <f t="shared" si="63"/>
        <v>0.16800000000000001</v>
      </c>
      <c r="AZ184" s="13"/>
      <c r="BA184" s="14"/>
      <c r="BB184" s="13"/>
      <c r="BD184" s="8" t="s">
        <v>108</v>
      </c>
      <c r="BM184" s="13">
        <v>3.5</v>
      </c>
      <c r="BN184" s="13">
        <v>10</v>
      </c>
      <c r="BO184" s="13">
        <v>400</v>
      </c>
      <c r="BP184" s="13">
        <v>13</v>
      </c>
      <c r="BQ184" s="14">
        <f t="shared" si="64"/>
        <v>0.182</v>
      </c>
      <c r="BR184" s="13"/>
      <c r="BS184" s="14"/>
      <c r="BT184" s="13"/>
      <c r="BV184" s="13">
        <v>10</v>
      </c>
      <c r="BW184" s="13">
        <v>25</v>
      </c>
      <c r="BX184" s="13">
        <v>400</v>
      </c>
      <c r="BY184" s="13">
        <v>6</v>
      </c>
      <c r="BZ184" s="14">
        <f t="shared" si="53"/>
        <v>0.6</v>
      </c>
      <c r="CA184" s="13"/>
      <c r="CB184" s="14"/>
      <c r="CC184" s="13"/>
      <c r="CE184" s="28" t="s">
        <v>16</v>
      </c>
      <c r="CF184" s="27" t="s">
        <v>73</v>
      </c>
      <c r="CG184" s="26"/>
      <c r="CH184" s="26"/>
      <c r="CI184" s="26"/>
      <c r="CJ184" s="26"/>
      <c r="CK184" s="234"/>
      <c r="CL184" s="235"/>
      <c r="CN184" s="13">
        <v>15</v>
      </c>
      <c r="CO184" s="13">
        <v>25</v>
      </c>
      <c r="CP184" s="13">
        <v>400</v>
      </c>
      <c r="CQ184" s="13">
        <v>1</v>
      </c>
      <c r="CR184" s="14">
        <f t="shared" si="67"/>
        <v>0.15</v>
      </c>
      <c r="CS184" s="13"/>
      <c r="CT184" s="14"/>
      <c r="CU184" s="41"/>
      <c r="CW184" s="13">
        <v>13</v>
      </c>
      <c r="CX184" s="13">
        <v>25</v>
      </c>
      <c r="CY184" s="13">
        <v>400</v>
      </c>
      <c r="CZ184" s="13">
        <v>3</v>
      </c>
      <c r="DA184" s="14">
        <f t="shared" si="66"/>
        <v>0.39</v>
      </c>
      <c r="DB184" s="13"/>
      <c r="DC184" s="14"/>
      <c r="DD184" s="41"/>
      <c r="DF184" s="13">
        <v>7</v>
      </c>
      <c r="DG184" s="13">
        <v>30</v>
      </c>
      <c r="DH184" s="61">
        <v>400</v>
      </c>
      <c r="DI184" s="13">
        <v>1</v>
      </c>
      <c r="DJ184" s="14">
        <f t="shared" si="68"/>
        <v>8.4000000000000005E-2</v>
      </c>
      <c r="DK184" s="13"/>
      <c r="DL184" s="14"/>
      <c r="DM184" s="41"/>
    </row>
    <row r="185" spans="2:117" ht="15.75" x14ac:dyDescent="0.25">
      <c r="B185" s="13">
        <v>3.2</v>
      </c>
      <c r="C185" s="13">
        <v>11</v>
      </c>
      <c r="D185" s="13">
        <v>400</v>
      </c>
      <c r="E185" s="13">
        <v>9</v>
      </c>
      <c r="F185" s="20">
        <f t="shared" si="62"/>
        <v>0.12672000000000003</v>
      </c>
      <c r="G185" s="13">
        <f>SUM(E184:E185)</f>
        <v>24</v>
      </c>
      <c r="H185" s="14">
        <f>SUM(F184:F185)</f>
        <v>0.37631999999999999</v>
      </c>
      <c r="I185" s="13"/>
      <c r="K185" s="25"/>
      <c r="L185" s="25"/>
      <c r="M185" s="25"/>
      <c r="N185" s="25"/>
      <c r="O185" s="25"/>
      <c r="P185" s="225" t="s">
        <v>63</v>
      </c>
      <c r="Q185" s="225"/>
      <c r="R185" s="225"/>
      <c r="T185" s="13">
        <v>4.5</v>
      </c>
      <c r="U185" s="13">
        <v>20</v>
      </c>
      <c r="V185" s="13">
        <v>400</v>
      </c>
      <c r="W185" s="13">
        <v>8</v>
      </c>
      <c r="X185" s="14">
        <f t="shared" si="65"/>
        <v>0.28799999999999998</v>
      </c>
      <c r="Y185" s="13"/>
      <c r="Z185" s="14"/>
      <c r="AA185" s="13"/>
      <c r="AC185" s="13">
        <v>15</v>
      </c>
      <c r="AD185" s="13">
        <v>25</v>
      </c>
      <c r="AE185" s="13">
        <v>400</v>
      </c>
      <c r="AF185" s="13">
        <v>3</v>
      </c>
      <c r="AG185" s="14">
        <f t="shared" si="70"/>
        <v>0.45</v>
      </c>
      <c r="AH185" s="13"/>
      <c r="AI185" s="14"/>
      <c r="AJ185" s="58" t="s">
        <v>21</v>
      </c>
      <c r="AL185" s="13">
        <v>5</v>
      </c>
      <c r="AM185" s="13">
        <v>15</v>
      </c>
      <c r="AN185" s="13">
        <v>400</v>
      </c>
      <c r="AO185" s="13">
        <v>3</v>
      </c>
      <c r="AP185" s="14">
        <f t="shared" si="69"/>
        <v>0.09</v>
      </c>
      <c r="AQ185" s="13"/>
      <c r="AR185" s="14"/>
      <c r="AS185" s="13"/>
      <c r="AU185" s="13">
        <v>5</v>
      </c>
      <c r="AV185" s="13">
        <v>10</v>
      </c>
      <c r="AW185" s="13">
        <v>400</v>
      </c>
      <c r="AX185" s="13">
        <v>12</v>
      </c>
      <c r="AY185" s="14">
        <f t="shared" si="63"/>
        <v>0.24</v>
      </c>
      <c r="AZ185" s="13"/>
      <c r="BA185" s="14"/>
      <c r="BB185" s="13"/>
      <c r="BD185" s="4" t="s">
        <v>24</v>
      </c>
      <c r="BE185" s="4"/>
      <c r="BF185" s="6">
        <f>SUM(BG81)</f>
        <v>828</v>
      </c>
      <c r="BG185" s="5">
        <f>SUM(BH81)</f>
        <v>11.021599999999999</v>
      </c>
      <c r="BH185" s="7" t="s">
        <v>23</v>
      </c>
      <c r="BI185" s="6">
        <f>SUM(BI182,BI134,BI80)</f>
        <v>1185</v>
      </c>
      <c r="BJ185" s="7">
        <f>SUM(BJ182,BJ134,BJ80)</f>
        <v>26.287579999999998</v>
      </c>
      <c r="BM185" s="13">
        <v>1.7</v>
      </c>
      <c r="BN185" s="13">
        <v>10</v>
      </c>
      <c r="BO185" s="13">
        <v>400</v>
      </c>
      <c r="BP185" s="13">
        <v>2</v>
      </c>
      <c r="BQ185" s="14">
        <f t="shared" si="64"/>
        <v>1.3599999999999999E-2</v>
      </c>
      <c r="BR185" s="13"/>
      <c r="BS185" s="14"/>
      <c r="BT185" s="13"/>
      <c r="BV185" s="13">
        <v>2.2000000000000002</v>
      </c>
      <c r="BW185" s="13">
        <v>25</v>
      </c>
      <c r="BX185" s="13">
        <v>400</v>
      </c>
      <c r="BY185" s="13">
        <v>2</v>
      </c>
      <c r="BZ185" s="14">
        <f t="shared" si="53"/>
        <v>4.4000000000000004E-2</v>
      </c>
      <c r="CA185" s="13"/>
      <c r="CB185" s="14"/>
      <c r="CC185" s="13"/>
      <c r="CE185" s="43"/>
      <c r="CF185" s="25"/>
      <c r="CG185" s="248" t="s">
        <v>158</v>
      </c>
      <c r="CH185" s="248"/>
      <c r="CI185" s="248"/>
      <c r="CJ185" s="225" t="s">
        <v>152</v>
      </c>
      <c r="CK185" s="225"/>
      <c r="CL185" s="225"/>
      <c r="CN185" s="13">
        <v>10</v>
      </c>
      <c r="CO185" s="13">
        <v>33</v>
      </c>
      <c r="CP185" s="13">
        <v>400</v>
      </c>
      <c r="CQ185" s="13">
        <v>1</v>
      </c>
      <c r="CR185" s="14">
        <f t="shared" si="67"/>
        <v>0.13200000000000001</v>
      </c>
      <c r="CS185" s="13"/>
      <c r="CT185" s="14"/>
      <c r="CU185" s="41"/>
      <c r="CW185" s="13">
        <v>4.5</v>
      </c>
      <c r="CX185" s="13">
        <v>25</v>
      </c>
      <c r="CY185" s="13">
        <v>400</v>
      </c>
      <c r="CZ185" s="13">
        <v>4</v>
      </c>
      <c r="DA185" s="14">
        <f t="shared" si="66"/>
        <v>0.18</v>
      </c>
      <c r="DB185" s="13"/>
      <c r="DC185" s="14"/>
      <c r="DD185" s="41"/>
      <c r="DF185" s="13">
        <v>3.5</v>
      </c>
      <c r="DG185" s="13">
        <v>28</v>
      </c>
      <c r="DH185" s="61">
        <v>400</v>
      </c>
      <c r="DI185" s="13">
        <v>1</v>
      </c>
      <c r="DJ185" s="14">
        <f t="shared" si="68"/>
        <v>3.9199999999999999E-2</v>
      </c>
      <c r="DK185" s="13"/>
      <c r="DL185" s="14"/>
      <c r="DM185" s="41"/>
    </row>
    <row r="186" spans="2:117" ht="15.75" x14ac:dyDescent="0.25">
      <c r="B186" s="122">
        <v>3</v>
      </c>
      <c r="C186" s="122">
        <v>7</v>
      </c>
      <c r="D186" s="122">
        <v>400</v>
      </c>
      <c r="E186" s="122">
        <v>2</v>
      </c>
      <c r="F186" s="132">
        <f t="shared" si="62"/>
        <v>1.6799999999999999E-2</v>
      </c>
      <c r="G186" s="122"/>
      <c r="H186" s="123"/>
      <c r="I186" s="122"/>
      <c r="K186" s="226" t="s">
        <v>13</v>
      </c>
      <c r="L186" s="227"/>
      <c r="M186" s="228"/>
      <c r="N186" s="227" t="s">
        <v>12</v>
      </c>
      <c r="O186" s="228"/>
      <c r="P186" s="227" t="s">
        <v>12</v>
      </c>
      <c r="Q186" s="228"/>
      <c r="R186" s="229" t="s">
        <v>11</v>
      </c>
      <c r="T186" s="13">
        <v>4.5</v>
      </c>
      <c r="U186" s="13">
        <v>18</v>
      </c>
      <c r="V186" s="13">
        <v>400</v>
      </c>
      <c r="W186" s="13">
        <v>1</v>
      </c>
      <c r="X186" s="14">
        <f t="shared" si="65"/>
        <v>3.2399999999999998E-2</v>
      </c>
      <c r="Y186" s="13"/>
      <c r="Z186" s="14"/>
      <c r="AA186" s="13"/>
      <c r="AC186" s="13">
        <v>15</v>
      </c>
      <c r="AD186" s="13">
        <v>23</v>
      </c>
      <c r="AE186" s="13">
        <v>400</v>
      </c>
      <c r="AF186" s="13">
        <v>1</v>
      </c>
      <c r="AG186" s="14">
        <f t="shared" si="70"/>
        <v>0.13800000000000001</v>
      </c>
      <c r="AH186" s="13"/>
      <c r="AI186" s="14"/>
      <c r="AJ186" s="58" t="s">
        <v>21</v>
      </c>
      <c r="AL186" s="13">
        <v>7</v>
      </c>
      <c r="AM186" s="13">
        <v>15</v>
      </c>
      <c r="AN186" s="13">
        <v>400</v>
      </c>
      <c r="AO186" s="13">
        <v>1</v>
      </c>
      <c r="AP186" s="14">
        <f t="shared" si="69"/>
        <v>4.2000000000000003E-2</v>
      </c>
      <c r="AQ186" s="13"/>
      <c r="AR186" s="14"/>
      <c r="AS186" s="13"/>
      <c r="AU186" s="13">
        <v>4</v>
      </c>
      <c r="AV186" s="13">
        <v>10</v>
      </c>
      <c r="AW186" s="13">
        <v>400</v>
      </c>
      <c r="AX186" s="13">
        <v>5</v>
      </c>
      <c r="AY186" s="14">
        <f t="shared" si="63"/>
        <v>0.08</v>
      </c>
      <c r="AZ186" s="13"/>
      <c r="BA186" s="14"/>
      <c r="BB186" s="13"/>
      <c r="BD186" s="4" t="s">
        <v>22</v>
      </c>
      <c r="BE186" s="4"/>
      <c r="BF186" s="6">
        <f>SUM(BG134)</f>
        <v>361</v>
      </c>
      <c r="BG186" s="5">
        <f>SUM(BH134)</f>
        <v>10.717039999999999</v>
      </c>
      <c r="BH186" s="7" t="s">
        <v>21</v>
      </c>
      <c r="BI186" s="6">
        <f>SUM(BG59)</f>
        <v>526</v>
      </c>
      <c r="BJ186" s="7">
        <f>SUM(BH59)</f>
        <v>6.8025000000000002</v>
      </c>
      <c r="BM186" s="122">
        <v>5</v>
      </c>
      <c r="BN186" s="122">
        <v>7</v>
      </c>
      <c r="BO186" s="122">
        <v>400</v>
      </c>
      <c r="BP186" s="122">
        <v>28</v>
      </c>
      <c r="BQ186" s="123">
        <f t="shared" si="64"/>
        <v>0.39200000000000002</v>
      </c>
      <c r="BR186" s="122"/>
      <c r="BS186" s="123"/>
      <c r="BT186" s="122"/>
      <c r="BV186" s="13">
        <v>4.5</v>
      </c>
      <c r="BW186" s="13">
        <v>25</v>
      </c>
      <c r="BX186" s="13">
        <v>400</v>
      </c>
      <c r="BY186" s="13">
        <v>3</v>
      </c>
      <c r="BZ186" s="14">
        <f t="shared" si="53"/>
        <v>0.13500000000000001</v>
      </c>
      <c r="CA186" s="13"/>
      <c r="CB186" s="14"/>
      <c r="CC186" s="13"/>
      <c r="CE186" s="226" t="s">
        <v>13</v>
      </c>
      <c r="CF186" s="227"/>
      <c r="CG186" s="228"/>
      <c r="CH186" s="227" t="s">
        <v>12</v>
      </c>
      <c r="CI186" s="228"/>
      <c r="CJ186" s="227" t="s">
        <v>12</v>
      </c>
      <c r="CK186" s="228"/>
      <c r="CL186" s="229" t="s">
        <v>11</v>
      </c>
      <c r="CN186" s="13">
        <v>15</v>
      </c>
      <c r="CO186" s="13">
        <v>25</v>
      </c>
      <c r="CP186" s="13">
        <v>400</v>
      </c>
      <c r="CQ186" s="13">
        <v>4</v>
      </c>
      <c r="CR186" s="14">
        <f t="shared" si="67"/>
        <v>0.6</v>
      </c>
      <c r="CS186" s="13"/>
      <c r="CT186" s="14"/>
      <c r="CU186" s="41"/>
      <c r="CW186" s="13">
        <v>7</v>
      </c>
      <c r="CX186" s="13">
        <v>25</v>
      </c>
      <c r="CY186" s="13">
        <v>400</v>
      </c>
      <c r="CZ186" s="13">
        <v>1</v>
      </c>
      <c r="DA186" s="14">
        <f t="shared" si="66"/>
        <v>7.0000000000000007E-2</v>
      </c>
      <c r="DB186" s="13"/>
      <c r="DC186" s="14"/>
      <c r="DD186" s="41"/>
      <c r="DF186" s="13">
        <v>15</v>
      </c>
      <c r="DG186" s="13">
        <v>25</v>
      </c>
      <c r="DH186" s="61">
        <v>400</v>
      </c>
      <c r="DI186" s="13">
        <v>11</v>
      </c>
      <c r="DJ186" s="14">
        <f t="shared" si="68"/>
        <v>1.65</v>
      </c>
      <c r="DK186" s="13"/>
      <c r="DL186" s="14"/>
      <c r="DM186" s="41"/>
    </row>
    <row r="187" spans="2:117" ht="16.5" thickBot="1" x14ac:dyDescent="0.3">
      <c r="B187" s="122">
        <v>3</v>
      </c>
      <c r="C187" s="122">
        <v>5</v>
      </c>
      <c r="D187" s="122">
        <v>400</v>
      </c>
      <c r="E187" s="122">
        <v>350</v>
      </c>
      <c r="F187" s="132">
        <f t="shared" si="62"/>
        <v>2.1</v>
      </c>
      <c r="G187" s="122">
        <f>SUM(E186:E187)</f>
        <v>352</v>
      </c>
      <c r="H187" s="123">
        <f>SUM(F186:F187)</f>
        <v>2.1168</v>
      </c>
      <c r="I187" s="122"/>
      <c r="K187" s="24" t="s">
        <v>10</v>
      </c>
      <c r="L187" s="23" t="s">
        <v>9</v>
      </c>
      <c r="M187" s="23" t="s">
        <v>8</v>
      </c>
      <c r="N187" s="22" t="s">
        <v>7</v>
      </c>
      <c r="O187" s="21" t="s">
        <v>6</v>
      </c>
      <c r="P187" s="22" t="s">
        <v>7</v>
      </c>
      <c r="Q187" s="21" t="s">
        <v>6</v>
      </c>
      <c r="R187" s="230"/>
      <c r="T187" s="13">
        <v>4.5</v>
      </c>
      <c r="U187" s="13">
        <v>15</v>
      </c>
      <c r="V187" s="13">
        <v>400</v>
      </c>
      <c r="W187" s="13">
        <v>25</v>
      </c>
      <c r="X187" s="14">
        <f t="shared" si="65"/>
        <v>0.67500000000000004</v>
      </c>
      <c r="Y187" s="13"/>
      <c r="Z187" s="14"/>
      <c r="AA187" s="13"/>
      <c r="AC187" s="13">
        <v>15</v>
      </c>
      <c r="AD187" s="13">
        <v>23</v>
      </c>
      <c r="AE187" s="13">
        <v>300</v>
      </c>
      <c r="AF187" s="13">
        <v>1</v>
      </c>
      <c r="AG187" s="14">
        <f t="shared" si="70"/>
        <v>0.10349999999999999</v>
      </c>
      <c r="AH187" s="13"/>
      <c r="AI187" s="14"/>
      <c r="AJ187" s="58" t="s">
        <v>21</v>
      </c>
      <c r="AL187" s="13">
        <v>3</v>
      </c>
      <c r="AM187" s="13">
        <v>15</v>
      </c>
      <c r="AN187" s="13">
        <v>400</v>
      </c>
      <c r="AO187" s="13">
        <v>5</v>
      </c>
      <c r="AP187" s="14">
        <f t="shared" si="69"/>
        <v>0.09</v>
      </c>
      <c r="AQ187" s="13"/>
      <c r="AR187" s="14"/>
      <c r="AS187" s="13"/>
      <c r="AU187" s="13">
        <v>3</v>
      </c>
      <c r="AV187" s="13">
        <v>10</v>
      </c>
      <c r="AW187" s="13">
        <v>400</v>
      </c>
      <c r="AX187" s="13">
        <v>2</v>
      </c>
      <c r="AY187" s="14">
        <f t="shared" si="63"/>
        <v>2.4E-2</v>
      </c>
      <c r="AZ187" s="13"/>
      <c r="BA187" s="14"/>
      <c r="BB187" s="13"/>
      <c r="BD187" s="4" t="s">
        <v>20</v>
      </c>
      <c r="BE187" s="4"/>
      <c r="BF187" s="6">
        <f>SUM(BG182)</f>
        <v>522</v>
      </c>
      <c r="BG187" s="5">
        <f>SUM(BH182)</f>
        <v>11.351439999999998</v>
      </c>
      <c r="BH187" s="4"/>
      <c r="BI187" s="3">
        <f>SUM(BI185:BI186)</f>
        <v>1711</v>
      </c>
      <c r="BJ187" s="53">
        <f>SUM(BJ185:BJ186)</f>
        <v>33.09008</v>
      </c>
      <c r="BM187" s="122">
        <v>4</v>
      </c>
      <c r="BN187" s="122">
        <v>6</v>
      </c>
      <c r="BO187" s="122">
        <v>400</v>
      </c>
      <c r="BP187" s="122">
        <v>42</v>
      </c>
      <c r="BQ187" s="123">
        <f t="shared" si="64"/>
        <v>0.4032</v>
      </c>
      <c r="BR187" s="122"/>
      <c r="BS187" s="123"/>
      <c r="BT187" s="122"/>
      <c r="BV187" s="13">
        <v>10</v>
      </c>
      <c r="BW187" s="13">
        <v>23</v>
      </c>
      <c r="BX187" s="13">
        <v>400</v>
      </c>
      <c r="BY187" s="13">
        <v>2</v>
      </c>
      <c r="BZ187" s="14">
        <f t="shared" si="53"/>
        <v>0.184</v>
      </c>
      <c r="CA187" s="13"/>
      <c r="CB187" s="14"/>
      <c r="CC187" s="13"/>
      <c r="CE187" s="24" t="s">
        <v>10</v>
      </c>
      <c r="CF187" s="23" t="s">
        <v>9</v>
      </c>
      <c r="CG187" s="23" t="s">
        <v>8</v>
      </c>
      <c r="CH187" s="22" t="s">
        <v>7</v>
      </c>
      <c r="CI187" s="21" t="s">
        <v>6</v>
      </c>
      <c r="CJ187" s="22" t="s">
        <v>7</v>
      </c>
      <c r="CK187" s="21" t="s">
        <v>6</v>
      </c>
      <c r="CL187" s="230"/>
      <c r="CN187" s="13">
        <v>10</v>
      </c>
      <c r="CO187" s="13">
        <v>25</v>
      </c>
      <c r="CP187" s="13">
        <v>400</v>
      </c>
      <c r="CQ187" s="13">
        <v>12</v>
      </c>
      <c r="CR187" s="14">
        <f t="shared" si="67"/>
        <v>1.2</v>
      </c>
      <c r="CS187" s="13"/>
      <c r="CT187" s="14"/>
      <c r="CU187" s="41"/>
      <c r="CW187" s="13">
        <v>4.5</v>
      </c>
      <c r="CX187" s="13">
        <v>30</v>
      </c>
      <c r="CY187" s="13">
        <v>400</v>
      </c>
      <c r="CZ187" s="13">
        <v>1</v>
      </c>
      <c r="DA187" s="14">
        <f t="shared" si="66"/>
        <v>5.3999999999999999E-2</v>
      </c>
      <c r="DB187" s="13"/>
      <c r="DC187" s="14"/>
      <c r="DD187" s="41"/>
      <c r="DF187" s="13">
        <v>13</v>
      </c>
      <c r="DG187" s="13">
        <v>25</v>
      </c>
      <c r="DH187" s="61">
        <v>400</v>
      </c>
      <c r="DI187" s="13">
        <v>5</v>
      </c>
      <c r="DJ187" s="14">
        <f t="shared" si="68"/>
        <v>0.65</v>
      </c>
      <c r="DK187" s="13"/>
      <c r="DL187" s="14"/>
      <c r="DM187" s="41"/>
    </row>
    <row r="188" spans="2:117" ht="17.25" thickTop="1" thickBot="1" x14ac:dyDescent="0.3">
      <c r="B188" s="13">
        <v>2.2000000000000002</v>
      </c>
      <c r="C188" s="13">
        <v>30</v>
      </c>
      <c r="D188" s="13">
        <v>400</v>
      </c>
      <c r="E188" s="13">
        <v>4</v>
      </c>
      <c r="F188" s="20">
        <f t="shared" si="62"/>
        <v>0.1056</v>
      </c>
      <c r="G188" s="13"/>
      <c r="H188" s="14"/>
      <c r="I188" s="13"/>
      <c r="K188" s="13">
        <v>15</v>
      </c>
      <c r="L188" s="13">
        <v>25</v>
      </c>
      <c r="M188" s="13">
        <v>400</v>
      </c>
      <c r="N188" s="13">
        <v>3</v>
      </c>
      <c r="O188" s="14">
        <f t="shared" ref="O188:O202" si="71">K188*L188*M188*N188/1000000</f>
        <v>0.45</v>
      </c>
      <c r="P188" s="13"/>
      <c r="Q188" s="14"/>
      <c r="R188" s="13"/>
      <c r="T188" s="13">
        <v>4.5</v>
      </c>
      <c r="U188" s="13">
        <v>13</v>
      </c>
      <c r="V188" s="13">
        <v>400</v>
      </c>
      <c r="W188" s="13">
        <v>5</v>
      </c>
      <c r="X188" s="14">
        <f t="shared" si="65"/>
        <v>0.11700000000000001</v>
      </c>
      <c r="Y188" s="13"/>
      <c r="Z188" s="14"/>
      <c r="AA188" s="13"/>
      <c r="AC188" s="13">
        <v>15</v>
      </c>
      <c r="AD188" s="13">
        <v>22</v>
      </c>
      <c r="AE188" s="13">
        <v>400</v>
      </c>
      <c r="AF188" s="13">
        <v>2</v>
      </c>
      <c r="AG188" s="14">
        <f t="shared" si="70"/>
        <v>0.26400000000000001</v>
      </c>
      <c r="AH188" s="13"/>
      <c r="AI188" s="14"/>
      <c r="AJ188" s="58" t="s">
        <v>21</v>
      </c>
      <c r="AL188" s="13">
        <v>4</v>
      </c>
      <c r="AM188" s="13">
        <v>15</v>
      </c>
      <c r="AN188" s="13">
        <v>400</v>
      </c>
      <c r="AO188" s="13">
        <v>1</v>
      </c>
      <c r="AP188" s="14">
        <f t="shared" si="69"/>
        <v>2.4E-2</v>
      </c>
      <c r="AQ188" s="13"/>
      <c r="AR188" s="14"/>
      <c r="AS188" s="13"/>
      <c r="AU188" s="13">
        <v>2</v>
      </c>
      <c r="AV188" s="13">
        <v>10</v>
      </c>
      <c r="AW188" s="13">
        <v>400</v>
      </c>
      <c r="AX188" s="13">
        <v>12</v>
      </c>
      <c r="AY188" s="14">
        <f t="shared" si="63"/>
        <v>9.6000000000000002E-2</v>
      </c>
      <c r="AZ188" s="13"/>
      <c r="BA188" s="14"/>
      <c r="BB188" s="13"/>
      <c r="BD188" s="4"/>
      <c r="BE188" s="4"/>
      <c r="BF188" s="30">
        <f>SUM(BF185:BF187)</f>
        <v>1711</v>
      </c>
      <c r="BG188" s="29">
        <f>SUM(BG185:BG187)</f>
        <v>33.090079999999993</v>
      </c>
      <c r="BM188" s="122">
        <v>3</v>
      </c>
      <c r="BN188" s="122">
        <v>5</v>
      </c>
      <c r="BO188" s="122">
        <v>400</v>
      </c>
      <c r="BP188" s="122">
        <v>100</v>
      </c>
      <c r="BQ188" s="123">
        <f t="shared" si="64"/>
        <v>0.6</v>
      </c>
      <c r="BR188" s="122"/>
      <c r="BS188" s="123"/>
      <c r="BT188" s="122"/>
      <c r="BV188" s="13">
        <v>13</v>
      </c>
      <c r="BW188" s="13">
        <v>25</v>
      </c>
      <c r="BX188" s="13">
        <v>400</v>
      </c>
      <c r="BY188" s="13">
        <v>1</v>
      </c>
      <c r="BZ188" s="14">
        <f t="shared" si="53"/>
        <v>0.13</v>
      </c>
      <c r="CA188" s="13"/>
      <c r="CB188" s="14"/>
      <c r="CC188" s="13"/>
      <c r="CE188" s="13">
        <v>13</v>
      </c>
      <c r="CF188" s="13">
        <v>28</v>
      </c>
      <c r="CG188" s="13">
        <v>400</v>
      </c>
      <c r="CH188" s="13">
        <v>1</v>
      </c>
      <c r="CI188" s="14">
        <f t="shared" ref="CI188:CI248" si="72">CE188*CF188*CG188*CH188/1000000</f>
        <v>0.14560000000000001</v>
      </c>
      <c r="CJ188" s="13"/>
      <c r="CK188" s="14"/>
      <c r="CL188" s="13"/>
      <c r="CN188" s="13">
        <v>13</v>
      </c>
      <c r="CO188" s="13">
        <v>25</v>
      </c>
      <c r="CP188" s="13">
        <v>400</v>
      </c>
      <c r="CQ188" s="13">
        <v>4</v>
      </c>
      <c r="CR188" s="14">
        <f t="shared" si="67"/>
        <v>0.52</v>
      </c>
      <c r="CS188" s="13"/>
      <c r="CT188" s="14"/>
      <c r="CU188" s="41"/>
      <c r="CW188" s="13">
        <v>4.5</v>
      </c>
      <c r="CX188" s="13">
        <v>13</v>
      </c>
      <c r="CY188" s="13">
        <v>400</v>
      </c>
      <c r="CZ188" s="13">
        <v>1</v>
      </c>
      <c r="DA188" s="14">
        <f t="shared" si="66"/>
        <v>2.3400000000000001E-2</v>
      </c>
      <c r="DB188" s="13"/>
      <c r="DC188" s="14"/>
      <c r="DD188" s="41"/>
      <c r="DF188" s="13">
        <v>10</v>
      </c>
      <c r="DG188" s="13">
        <v>25</v>
      </c>
      <c r="DH188" s="61">
        <v>400</v>
      </c>
      <c r="DI188" s="13">
        <v>5</v>
      </c>
      <c r="DJ188" s="14">
        <f t="shared" si="68"/>
        <v>0.5</v>
      </c>
      <c r="DK188" s="13"/>
      <c r="DL188" s="14"/>
      <c r="DM188" s="41"/>
    </row>
    <row r="189" spans="2:117" ht="16.5" thickTop="1" x14ac:dyDescent="0.25">
      <c r="B189" s="13">
        <v>2.2000000000000002</v>
      </c>
      <c r="C189" s="13">
        <v>25</v>
      </c>
      <c r="D189" s="13">
        <v>400</v>
      </c>
      <c r="E189" s="13">
        <v>3</v>
      </c>
      <c r="F189" s="20">
        <f t="shared" si="62"/>
        <v>6.6000000000000017E-2</v>
      </c>
      <c r="G189" s="13"/>
      <c r="H189" s="14"/>
      <c r="I189" s="13"/>
      <c r="K189" s="13">
        <v>15</v>
      </c>
      <c r="L189" s="13">
        <v>20</v>
      </c>
      <c r="M189" s="13">
        <v>400</v>
      </c>
      <c r="N189" s="13">
        <v>7</v>
      </c>
      <c r="O189" s="14">
        <f t="shared" si="71"/>
        <v>0.84</v>
      </c>
      <c r="P189" s="13"/>
      <c r="Q189" s="14"/>
      <c r="R189" s="13"/>
      <c r="T189" s="13">
        <v>4.5</v>
      </c>
      <c r="U189" s="13">
        <v>10</v>
      </c>
      <c r="V189" s="13">
        <v>400</v>
      </c>
      <c r="W189" s="13">
        <v>44</v>
      </c>
      <c r="X189" s="14">
        <f t="shared" si="65"/>
        <v>0.79200000000000004</v>
      </c>
      <c r="Y189" s="13">
        <f>SUM(W183:W189)</f>
        <v>86</v>
      </c>
      <c r="Z189" s="14">
        <f>SUM(X183:X189)</f>
        <v>2.0322</v>
      </c>
      <c r="AA189" s="13"/>
      <c r="AC189" s="13">
        <v>15</v>
      </c>
      <c r="AD189" s="13">
        <v>21</v>
      </c>
      <c r="AE189" s="13">
        <v>400</v>
      </c>
      <c r="AF189" s="13">
        <v>4</v>
      </c>
      <c r="AG189" s="14">
        <f t="shared" si="70"/>
        <v>0.504</v>
      </c>
      <c r="AH189" s="13"/>
      <c r="AI189" s="14"/>
      <c r="AJ189" s="58" t="s">
        <v>21</v>
      </c>
      <c r="AL189" s="13">
        <v>2</v>
      </c>
      <c r="AM189" s="13">
        <v>15</v>
      </c>
      <c r="AN189" s="13">
        <v>400</v>
      </c>
      <c r="AO189" s="13">
        <v>3</v>
      </c>
      <c r="AP189" s="14">
        <f t="shared" si="69"/>
        <v>3.5999999999999997E-2</v>
      </c>
      <c r="AQ189" s="13"/>
      <c r="AR189" s="14"/>
      <c r="AS189" s="13"/>
      <c r="AU189" s="57">
        <v>5</v>
      </c>
      <c r="AV189" s="57">
        <v>7</v>
      </c>
      <c r="AW189" s="57">
        <v>400</v>
      </c>
      <c r="AX189" s="57">
        <v>36</v>
      </c>
      <c r="AY189" s="56">
        <f t="shared" si="63"/>
        <v>0.504</v>
      </c>
      <c r="AZ189" s="57"/>
      <c r="BA189" s="56"/>
      <c r="BB189" s="57"/>
      <c r="BH189" s="7" t="s">
        <v>118</v>
      </c>
      <c r="BI189" s="6">
        <f>SUM(BG181,BG130:BG133,)</f>
        <v>391</v>
      </c>
      <c r="BJ189" s="4">
        <f>SUM(BH181,BH130:BH133,)</f>
        <v>4.1248000000000005</v>
      </c>
      <c r="BK189" s="4"/>
      <c r="BM189" s="122">
        <v>2</v>
      </c>
      <c r="BN189" s="122">
        <v>3</v>
      </c>
      <c r="BO189" s="122">
        <v>400</v>
      </c>
      <c r="BP189" s="122">
        <v>125</v>
      </c>
      <c r="BQ189" s="123">
        <f t="shared" si="64"/>
        <v>0.3</v>
      </c>
      <c r="BR189" s="122"/>
      <c r="BS189" s="123"/>
      <c r="BT189" s="122"/>
      <c r="BV189" s="13">
        <v>15</v>
      </c>
      <c r="BW189" s="13">
        <v>25</v>
      </c>
      <c r="BX189" s="13">
        <v>400</v>
      </c>
      <c r="BY189" s="13">
        <v>5</v>
      </c>
      <c r="BZ189" s="14">
        <f t="shared" si="53"/>
        <v>0.75</v>
      </c>
      <c r="CA189" s="13"/>
      <c r="CB189" s="14"/>
      <c r="CC189" s="13"/>
      <c r="CE189" s="13">
        <v>15</v>
      </c>
      <c r="CF189" s="13">
        <v>33</v>
      </c>
      <c r="CG189" s="13">
        <v>400</v>
      </c>
      <c r="CH189" s="13">
        <v>2</v>
      </c>
      <c r="CI189" s="14">
        <f t="shared" si="72"/>
        <v>0.39600000000000002</v>
      </c>
      <c r="CJ189" s="13"/>
      <c r="CK189" s="14"/>
      <c r="CL189" s="13"/>
      <c r="CN189" s="13">
        <v>15</v>
      </c>
      <c r="CO189" s="13">
        <v>28</v>
      </c>
      <c r="CP189" s="13">
        <v>400</v>
      </c>
      <c r="CQ189" s="13">
        <v>1</v>
      </c>
      <c r="CR189" s="14">
        <f t="shared" si="67"/>
        <v>0.16800000000000001</v>
      </c>
      <c r="CS189" s="13"/>
      <c r="CT189" s="14"/>
      <c r="CU189" s="41"/>
      <c r="CW189" s="13">
        <v>2.2000000000000002</v>
      </c>
      <c r="CX189" s="13">
        <v>13</v>
      </c>
      <c r="CY189" s="13">
        <v>400</v>
      </c>
      <c r="CZ189" s="13">
        <v>3</v>
      </c>
      <c r="DA189" s="14">
        <f t="shared" si="66"/>
        <v>3.4320000000000003E-2</v>
      </c>
      <c r="DB189" s="13"/>
      <c r="DC189" s="14"/>
      <c r="DD189" s="41"/>
      <c r="DF189" s="13">
        <v>7</v>
      </c>
      <c r="DG189" s="13">
        <v>25</v>
      </c>
      <c r="DH189" s="61">
        <v>400</v>
      </c>
      <c r="DI189" s="13">
        <v>2</v>
      </c>
      <c r="DJ189" s="14">
        <f t="shared" si="68"/>
        <v>0.14000000000000001</v>
      </c>
      <c r="DK189" s="13"/>
      <c r="DL189" s="14"/>
      <c r="DM189" s="41"/>
    </row>
    <row r="190" spans="2:117" ht="15.75" x14ac:dyDescent="0.25">
      <c r="B190" s="13">
        <v>2.2000000000000002</v>
      </c>
      <c r="C190" s="13">
        <v>25</v>
      </c>
      <c r="D190" s="13">
        <v>400</v>
      </c>
      <c r="E190" s="13">
        <v>3</v>
      </c>
      <c r="F190" s="20">
        <f t="shared" si="62"/>
        <v>6.6000000000000017E-2</v>
      </c>
      <c r="G190" s="13"/>
      <c r="H190" s="14"/>
      <c r="I190" s="13"/>
      <c r="K190" s="13">
        <v>15</v>
      </c>
      <c r="L190" s="13">
        <v>15</v>
      </c>
      <c r="M190" s="13">
        <v>400</v>
      </c>
      <c r="N190" s="13">
        <v>29</v>
      </c>
      <c r="O190" s="14">
        <f t="shared" si="71"/>
        <v>2.61</v>
      </c>
      <c r="P190" s="13">
        <f>SUM(N188:N190)</f>
        <v>39</v>
      </c>
      <c r="Q190" s="14">
        <f>SUM(O188:O190)</f>
        <v>3.9</v>
      </c>
      <c r="R190" s="13"/>
      <c r="T190" s="13">
        <v>3.5</v>
      </c>
      <c r="U190" s="13">
        <v>25</v>
      </c>
      <c r="V190" s="13">
        <v>400</v>
      </c>
      <c r="W190" s="13">
        <v>1</v>
      </c>
      <c r="X190" s="14">
        <f t="shared" si="65"/>
        <v>3.5000000000000003E-2</v>
      </c>
      <c r="Y190" s="13"/>
      <c r="Z190" s="14"/>
      <c r="AA190" s="13"/>
      <c r="AC190" s="13">
        <v>15</v>
      </c>
      <c r="AD190" s="13">
        <v>20</v>
      </c>
      <c r="AE190" s="13">
        <v>400</v>
      </c>
      <c r="AF190" s="13">
        <v>4</v>
      </c>
      <c r="AG190" s="14">
        <f t="shared" si="70"/>
        <v>0.48</v>
      </c>
      <c r="AH190" s="13"/>
      <c r="AI190" s="14"/>
      <c r="AJ190" s="58" t="s">
        <v>21</v>
      </c>
      <c r="AL190" s="13">
        <v>5</v>
      </c>
      <c r="AM190" s="13">
        <v>10</v>
      </c>
      <c r="AN190" s="13">
        <v>400</v>
      </c>
      <c r="AO190" s="13">
        <v>10</v>
      </c>
      <c r="AP190" s="14">
        <f t="shared" si="69"/>
        <v>0.2</v>
      </c>
      <c r="AQ190" s="37"/>
      <c r="AR190" s="42"/>
      <c r="AS190" s="41"/>
      <c r="AU190" s="57">
        <v>4</v>
      </c>
      <c r="AV190" s="57">
        <v>6</v>
      </c>
      <c r="AW190" s="57">
        <v>400</v>
      </c>
      <c r="AX190" s="57">
        <v>42</v>
      </c>
      <c r="AY190" s="56">
        <f t="shared" si="63"/>
        <v>0.4032</v>
      </c>
      <c r="AZ190" s="57"/>
      <c r="BA190" s="56"/>
      <c r="BB190" s="57"/>
      <c r="BH190" s="7" t="s">
        <v>119</v>
      </c>
      <c r="BI190" s="6">
        <f>SUM(BG143:BG180,BG90:BG129,BG60:BG79)</f>
        <v>794</v>
      </c>
      <c r="BJ190" s="4">
        <f>SUM(BH143:BH180,BH90:BH129,BH60:BH79)</f>
        <v>22.162780000000001</v>
      </c>
      <c r="BK190" s="4"/>
      <c r="BM190" s="13">
        <v>10</v>
      </c>
      <c r="BN190" s="13">
        <v>15</v>
      </c>
      <c r="BO190" s="13">
        <v>400</v>
      </c>
      <c r="BP190" s="13">
        <v>1</v>
      </c>
      <c r="BQ190" s="14">
        <f t="shared" si="64"/>
        <v>0.06</v>
      </c>
      <c r="BR190" s="13"/>
      <c r="BS190" s="14"/>
      <c r="BT190" s="13"/>
      <c r="BV190" s="13">
        <v>7</v>
      </c>
      <c r="BW190" s="13">
        <v>25</v>
      </c>
      <c r="BX190" s="13">
        <v>400</v>
      </c>
      <c r="BY190" s="13">
        <v>2</v>
      </c>
      <c r="BZ190" s="14">
        <f t="shared" si="53"/>
        <v>0.14000000000000001</v>
      </c>
      <c r="CA190" s="13"/>
      <c r="CB190" s="14"/>
      <c r="CC190" s="13"/>
      <c r="CE190" s="13">
        <v>10</v>
      </c>
      <c r="CF190" s="13">
        <v>30</v>
      </c>
      <c r="CG190" s="13">
        <v>400</v>
      </c>
      <c r="CH190" s="13">
        <v>3</v>
      </c>
      <c r="CI190" s="14">
        <f t="shared" si="72"/>
        <v>0.36</v>
      </c>
      <c r="CJ190" s="13"/>
      <c r="CK190" s="14"/>
      <c r="CL190" s="13"/>
      <c r="CN190" s="13">
        <v>8</v>
      </c>
      <c r="CO190" s="13">
        <v>25</v>
      </c>
      <c r="CP190" s="13">
        <v>400</v>
      </c>
      <c r="CQ190" s="13">
        <v>1</v>
      </c>
      <c r="CR190" s="14">
        <f t="shared" si="67"/>
        <v>0.08</v>
      </c>
      <c r="CS190" s="13"/>
      <c r="CT190" s="14"/>
      <c r="CU190" s="41"/>
      <c r="CW190" s="13">
        <v>4.5</v>
      </c>
      <c r="CX190" s="13">
        <v>10</v>
      </c>
      <c r="CY190" s="13">
        <v>400</v>
      </c>
      <c r="CZ190" s="13">
        <v>5</v>
      </c>
      <c r="DA190" s="14">
        <f t="shared" si="66"/>
        <v>0.09</v>
      </c>
      <c r="DB190" s="13"/>
      <c r="DC190" s="14"/>
      <c r="DD190" s="41"/>
      <c r="DF190" s="13">
        <v>3.5</v>
      </c>
      <c r="DG190" s="13">
        <v>25</v>
      </c>
      <c r="DH190" s="61">
        <v>400</v>
      </c>
      <c r="DI190" s="13">
        <v>2</v>
      </c>
      <c r="DJ190" s="14">
        <f t="shared" si="68"/>
        <v>7.0000000000000007E-2</v>
      </c>
      <c r="DK190" s="13"/>
      <c r="DL190" s="14"/>
      <c r="DM190" s="41"/>
    </row>
    <row r="191" spans="2:117" ht="15.75" x14ac:dyDescent="0.25">
      <c r="B191" s="13">
        <v>2.2000000000000002</v>
      </c>
      <c r="C191" s="13">
        <v>20</v>
      </c>
      <c r="D191" s="13">
        <v>400</v>
      </c>
      <c r="E191" s="13">
        <v>1</v>
      </c>
      <c r="F191" s="20">
        <f t="shared" si="62"/>
        <v>1.7600000000000001E-2</v>
      </c>
      <c r="G191" s="13"/>
      <c r="H191" s="14"/>
      <c r="I191" s="13"/>
      <c r="K191" s="13">
        <v>13</v>
      </c>
      <c r="L191" s="13">
        <v>15</v>
      </c>
      <c r="M191" s="13">
        <v>400</v>
      </c>
      <c r="N191" s="13">
        <v>2</v>
      </c>
      <c r="O191" s="14">
        <f t="shared" si="71"/>
        <v>0.156</v>
      </c>
      <c r="P191" s="13"/>
      <c r="Q191" s="14"/>
      <c r="R191" s="13"/>
      <c r="T191" s="13">
        <v>3.5</v>
      </c>
      <c r="U191" s="13">
        <v>15</v>
      </c>
      <c r="V191" s="13">
        <v>400</v>
      </c>
      <c r="W191" s="13">
        <v>3</v>
      </c>
      <c r="X191" s="14">
        <f t="shared" si="65"/>
        <v>6.3E-2</v>
      </c>
      <c r="Y191" s="13">
        <f>SUM(W190:W191)</f>
        <v>4</v>
      </c>
      <c r="Z191" s="14">
        <f>SUM(X190:X191)</f>
        <v>9.8000000000000004E-2</v>
      </c>
      <c r="AA191" s="13"/>
      <c r="AC191" s="13">
        <v>15</v>
      </c>
      <c r="AD191" s="13">
        <v>20</v>
      </c>
      <c r="AE191" s="13">
        <v>300</v>
      </c>
      <c r="AF191" s="13">
        <v>5</v>
      </c>
      <c r="AG191" s="14">
        <f t="shared" si="70"/>
        <v>0.45</v>
      </c>
      <c r="AH191" s="13"/>
      <c r="AI191" s="14"/>
      <c r="AJ191" s="58" t="s">
        <v>21</v>
      </c>
      <c r="AL191" s="13">
        <v>3</v>
      </c>
      <c r="AM191" s="13">
        <v>12.5</v>
      </c>
      <c r="AN191" s="13">
        <v>400</v>
      </c>
      <c r="AO191" s="13">
        <v>2</v>
      </c>
      <c r="AP191" s="14">
        <f t="shared" si="69"/>
        <v>0.03</v>
      </c>
      <c r="AQ191" s="13"/>
      <c r="AR191" s="14"/>
      <c r="AS191" s="13"/>
      <c r="AU191" s="57">
        <v>3</v>
      </c>
      <c r="AV191" s="57">
        <v>5</v>
      </c>
      <c r="AW191" s="57">
        <v>400</v>
      </c>
      <c r="AX191" s="57">
        <v>50</v>
      </c>
      <c r="AY191" s="56">
        <f t="shared" si="63"/>
        <v>0.3</v>
      </c>
      <c r="AZ191" s="57"/>
      <c r="BA191" s="56"/>
      <c r="BB191" s="57"/>
      <c r="BH191" s="7" t="s">
        <v>149</v>
      </c>
      <c r="BI191" s="6">
        <f>SUM(BG42:BG44,BG20:BG23,BG16:BG17,)</f>
        <v>403</v>
      </c>
      <c r="BJ191" s="7">
        <f>SUM(BH42:BH44,BH20:BH23,BH16:BH17,)</f>
        <v>2.6953999999999998</v>
      </c>
      <c r="BK191" s="4"/>
      <c r="BM191" s="13">
        <v>13</v>
      </c>
      <c r="BN191" s="13">
        <v>13</v>
      </c>
      <c r="BO191" s="13">
        <v>400</v>
      </c>
      <c r="BP191" s="13">
        <v>2</v>
      </c>
      <c r="BQ191" s="14">
        <f t="shared" si="64"/>
        <v>0.13519999999999999</v>
      </c>
      <c r="BR191" s="13"/>
      <c r="BS191" s="14"/>
      <c r="BT191" s="13"/>
      <c r="BV191" s="13">
        <v>15</v>
      </c>
      <c r="BW191" s="13">
        <v>20</v>
      </c>
      <c r="BX191" s="13">
        <v>400</v>
      </c>
      <c r="BY191" s="13">
        <v>1</v>
      </c>
      <c r="BZ191" s="14">
        <f t="shared" si="53"/>
        <v>0.12</v>
      </c>
      <c r="CA191" s="13"/>
      <c r="CB191" s="14"/>
      <c r="CC191" s="13"/>
      <c r="CE191" s="13">
        <v>13</v>
      </c>
      <c r="CF191" s="13">
        <v>30</v>
      </c>
      <c r="CG191" s="13">
        <v>400</v>
      </c>
      <c r="CH191" s="13">
        <v>1</v>
      </c>
      <c r="CI191" s="14">
        <f t="shared" si="72"/>
        <v>0.156</v>
      </c>
      <c r="CJ191" s="13"/>
      <c r="CK191" s="14"/>
      <c r="CL191" s="13"/>
      <c r="CN191" s="13">
        <v>2.2000000000000002</v>
      </c>
      <c r="CO191" s="13">
        <v>23</v>
      </c>
      <c r="CP191" s="13">
        <v>400</v>
      </c>
      <c r="CQ191" s="13">
        <v>1</v>
      </c>
      <c r="CR191" s="14">
        <f t="shared" si="67"/>
        <v>2.0240000000000001E-2</v>
      </c>
      <c r="CS191" s="13"/>
      <c r="CT191" s="14"/>
      <c r="CU191" s="41"/>
      <c r="CW191" s="13">
        <v>7</v>
      </c>
      <c r="CX191" s="13">
        <v>10</v>
      </c>
      <c r="CY191" s="13">
        <v>400</v>
      </c>
      <c r="CZ191" s="13">
        <v>2</v>
      </c>
      <c r="DA191" s="14">
        <f t="shared" si="66"/>
        <v>5.6000000000000001E-2</v>
      </c>
      <c r="DB191" s="37"/>
      <c r="DC191" s="36"/>
      <c r="DD191" s="41"/>
      <c r="DF191" s="13">
        <v>4.5</v>
      </c>
      <c r="DG191" s="13">
        <v>25</v>
      </c>
      <c r="DH191" s="61">
        <v>400</v>
      </c>
      <c r="DI191" s="13">
        <v>2</v>
      </c>
      <c r="DJ191" s="14">
        <f t="shared" si="68"/>
        <v>0.09</v>
      </c>
      <c r="DK191" s="13"/>
      <c r="DL191" s="14"/>
      <c r="DM191" s="41"/>
    </row>
    <row r="192" spans="2:117" ht="15.75" x14ac:dyDescent="0.25">
      <c r="B192" s="13">
        <v>2.2000000000000002</v>
      </c>
      <c r="C192" s="13">
        <v>10</v>
      </c>
      <c r="D192" s="13">
        <v>400</v>
      </c>
      <c r="E192" s="13">
        <v>22</v>
      </c>
      <c r="F192" s="20">
        <f t="shared" si="62"/>
        <v>0.19359999999999999</v>
      </c>
      <c r="G192" s="13"/>
      <c r="H192" s="14"/>
      <c r="I192" s="13"/>
      <c r="K192" s="13">
        <v>12</v>
      </c>
      <c r="L192" s="13">
        <v>15</v>
      </c>
      <c r="M192" s="13">
        <v>400</v>
      </c>
      <c r="N192" s="13">
        <v>1</v>
      </c>
      <c r="O192" s="14">
        <f t="shared" si="71"/>
        <v>7.1999999999999995E-2</v>
      </c>
      <c r="P192" s="13">
        <f>SUM(N191:N192)</f>
        <v>3</v>
      </c>
      <c r="Q192" s="14">
        <f>SUM(O191:O192)</f>
        <v>0.22799999999999998</v>
      </c>
      <c r="R192" s="13"/>
      <c r="T192" s="13">
        <v>2.2000000000000002</v>
      </c>
      <c r="U192" s="13">
        <v>23</v>
      </c>
      <c r="V192" s="13">
        <v>400</v>
      </c>
      <c r="W192" s="13">
        <v>1</v>
      </c>
      <c r="X192" s="14">
        <f t="shared" si="65"/>
        <v>2.0240000000000001E-2</v>
      </c>
      <c r="Y192" s="13"/>
      <c r="Z192" s="14"/>
      <c r="AA192" s="13"/>
      <c r="AC192" s="13">
        <v>15</v>
      </c>
      <c r="AD192" s="13">
        <v>19</v>
      </c>
      <c r="AE192" s="13">
        <v>400</v>
      </c>
      <c r="AF192" s="13">
        <v>1</v>
      </c>
      <c r="AG192" s="14">
        <f t="shared" si="70"/>
        <v>0.114</v>
      </c>
      <c r="AH192" s="13"/>
      <c r="AI192" s="14"/>
      <c r="AJ192" s="58" t="s">
        <v>21</v>
      </c>
      <c r="AL192" s="13">
        <v>2</v>
      </c>
      <c r="AM192" s="13">
        <v>12</v>
      </c>
      <c r="AN192" s="13">
        <v>400</v>
      </c>
      <c r="AO192" s="13">
        <v>2</v>
      </c>
      <c r="AP192" s="14">
        <f t="shared" si="69"/>
        <v>1.9199999999999998E-2</v>
      </c>
      <c r="AQ192" s="13"/>
      <c r="AR192" s="14"/>
      <c r="AS192" s="13"/>
      <c r="AU192" s="57">
        <v>2</v>
      </c>
      <c r="AV192" s="57">
        <v>3</v>
      </c>
      <c r="AW192" s="57">
        <v>400</v>
      </c>
      <c r="AX192" s="57">
        <v>125</v>
      </c>
      <c r="AY192" s="56">
        <f t="shared" si="63"/>
        <v>0.3</v>
      </c>
      <c r="AZ192" s="57"/>
      <c r="BA192" s="56"/>
      <c r="BB192" s="57"/>
      <c r="BH192" s="7" t="s">
        <v>148</v>
      </c>
      <c r="BI192" s="6">
        <f>SUM(BG45:BG58,BG24:BG41,BG18:BG19,BG8:BG15)</f>
        <v>123</v>
      </c>
      <c r="BJ192" s="7">
        <f>SUM(BH45:BH58,BH24:BH41,BH18:BH19,BH8:BH15)</f>
        <v>4.1071</v>
      </c>
      <c r="BK192" s="4"/>
      <c r="BM192" s="13">
        <v>7</v>
      </c>
      <c r="BN192" s="13">
        <v>30</v>
      </c>
      <c r="BO192" s="13">
        <v>400</v>
      </c>
      <c r="BP192" s="13">
        <v>1</v>
      </c>
      <c r="BQ192" s="14">
        <f t="shared" si="64"/>
        <v>8.4000000000000005E-2</v>
      </c>
      <c r="BR192" s="13"/>
      <c r="BS192" s="14"/>
      <c r="BT192" s="13"/>
      <c r="BV192" s="13">
        <v>13</v>
      </c>
      <c r="BW192" s="13">
        <v>25</v>
      </c>
      <c r="BX192" s="13">
        <v>400</v>
      </c>
      <c r="BY192" s="13">
        <v>4</v>
      </c>
      <c r="BZ192" s="14">
        <f t="shared" si="53"/>
        <v>0.52</v>
      </c>
      <c r="CA192" s="13"/>
      <c r="CB192" s="14"/>
      <c r="CC192" s="13"/>
      <c r="CE192" s="13">
        <v>15</v>
      </c>
      <c r="CF192" s="13">
        <v>30</v>
      </c>
      <c r="CG192" s="13">
        <v>400</v>
      </c>
      <c r="CH192" s="13">
        <v>5</v>
      </c>
      <c r="CI192" s="14">
        <f t="shared" si="72"/>
        <v>0.9</v>
      </c>
      <c r="CJ192" s="13"/>
      <c r="CK192" s="14"/>
      <c r="CL192" s="13"/>
      <c r="CN192" s="13">
        <v>4.5</v>
      </c>
      <c r="CO192" s="13">
        <v>25</v>
      </c>
      <c r="CP192" s="13">
        <v>400</v>
      </c>
      <c r="CQ192" s="13">
        <v>1</v>
      </c>
      <c r="CR192" s="14">
        <f t="shared" si="67"/>
        <v>4.4999999999999998E-2</v>
      </c>
      <c r="CS192" s="13"/>
      <c r="CT192" s="14"/>
      <c r="CU192" s="41"/>
      <c r="CW192" s="13">
        <v>2.2000000000000002</v>
      </c>
      <c r="CX192" s="13">
        <v>10</v>
      </c>
      <c r="CY192" s="13">
        <v>400</v>
      </c>
      <c r="CZ192" s="13">
        <v>3</v>
      </c>
      <c r="DA192" s="14">
        <f t="shared" si="66"/>
        <v>2.64E-2</v>
      </c>
      <c r="DB192" s="13">
        <f>SUM(CZ168:CZ192)</f>
        <v>76</v>
      </c>
      <c r="DC192" s="47">
        <f>SUM(DA168:DA192)</f>
        <v>7.3273200000000003</v>
      </c>
      <c r="DD192" s="13"/>
      <c r="DF192" s="13">
        <v>15</v>
      </c>
      <c r="DG192" s="13">
        <v>20</v>
      </c>
      <c r="DH192" s="61">
        <v>400</v>
      </c>
      <c r="DI192" s="13">
        <v>1</v>
      </c>
      <c r="DJ192" s="14">
        <f t="shared" si="68"/>
        <v>0.12</v>
      </c>
      <c r="DK192" s="13"/>
      <c r="DL192" s="14"/>
      <c r="DM192" s="41"/>
    </row>
    <row r="193" spans="2:117" ht="16.5" thickBot="1" x14ac:dyDescent="0.3">
      <c r="B193" s="13">
        <v>2.2000000000000002</v>
      </c>
      <c r="C193" s="13">
        <v>10</v>
      </c>
      <c r="D193" s="13">
        <v>400</v>
      </c>
      <c r="E193" s="13">
        <v>2</v>
      </c>
      <c r="F193" s="20">
        <f t="shared" si="62"/>
        <v>1.7600000000000001E-2</v>
      </c>
      <c r="G193" s="13">
        <f>SUM(E188:E193)</f>
        <v>35</v>
      </c>
      <c r="H193" s="14">
        <f>SUM(F188:F193)</f>
        <v>0.46640000000000004</v>
      </c>
      <c r="I193" s="13"/>
      <c r="K193" s="13">
        <v>10</v>
      </c>
      <c r="L193" s="13">
        <v>15</v>
      </c>
      <c r="M193" s="13">
        <v>400</v>
      </c>
      <c r="N193" s="13">
        <v>4</v>
      </c>
      <c r="O193" s="14">
        <f t="shared" si="71"/>
        <v>0.24</v>
      </c>
      <c r="P193" s="13"/>
      <c r="Q193" s="14"/>
      <c r="R193" s="13"/>
      <c r="T193" s="13">
        <v>2.2000000000000002</v>
      </c>
      <c r="U193" s="13">
        <v>20</v>
      </c>
      <c r="V193" s="13">
        <v>400</v>
      </c>
      <c r="W193" s="13">
        <v>4</v>
      </c>
      <c r="X193" s="14">
        <f t="shared" si="65"/>
        <v>7.0400000000000004E-2</v>
      </c>
      <c r="Y193" s="13"/>
      <c r="Z193" s="14"/>
      <c r="AA193" s="13"/>
      <c r="AC193" s="13">
        <v>15</v>
      </c>
      <c r="AD193" s="13">
        <v>18</v>
      </c>
      <c r="AE193" s="13">
        <v>400</v>
      </c>
      <c r="AF193" s="13">
        <v>1</v>
      </c>
      <c r="AG193" s="14">
        <f t="shared" si="70"/>
        <v>0.108</v>
      </c>
      <c r="AH193" s="13"/>
      <c r="AI193" s="14"/>
      <c r="AJ193" s="58" t="s">
        <v>21</v>
      </c>
      <c r="AL193" s="13">
        <v>2</v>
      </c>
      <c r="AM193" s="13">
        <v>10</v>
      </c>
      <c r="AN193" s="13">
        <v>400</v>
      </c>
      <c r="AO193" s="13">
        <v>102</v>
      </c>
      <c r="AP193" s="14">
        <f t="shared" si="69"/>
        <v>0.81599999999999995</v>
      </c>
      <c r="AQ193" s="13"/>
      <c r="AR193" s="14"/>
      <c r="AS193" s="13"/>
      <c r="AU193" s="13">
        <v>3</v>
      </c>
      <c r="AV193" s="13">
        <v>30</v>
      </c>
      <c r="AW193" s="13">
        <v>300</v>
      </c>
      <c r="AX193" s="13">
        <v>1</v>
      </c>
      <c r="AY193" s="14">
        <f t="shared" si="63"/>
        <v>2.7E-2</v>
      </c>
      <c r="AZ193" s="13"/>
      <c r="BA193" s="14"/>
      <c r="BB193" s="13"/>
      <c r="BH193" s="4"/>
      <c r="BI193" s="30">
        <f>SUM(BI189:BI192)</f>
        <v>1711</v>
      </c>
      <c r="BJ193" s="171">
        <f>SUM(BJ189:BJ192)</f>
        <v>33.09008</v>
      </c>
      <c r="BK193" s="4"/>
      <c r="BM193" s="13">
        <v>10</v>
      </c>
      <c r="BN193" s="13">
        <v>30</v>
      </c>
      <c r="BO193" s="13">
        <v>400</v>
      </c>
      <c r="BP193" s="13">
        <v>7</v>
      </c>
      <c r="BQ193" s="14">
        <f t="shared" si="64"/>
        <v>0.84</v>
      </c>
      <c r="BR193" s="13"/>
      <c r="BS193" s="14"/>
      <c r="BT193" s="13"/>
      <c r="BV193" s="13">
        <v>4.5</v>
      </c>
      <c r="BW193" s="13">
        <v>30</v>
      </c>
      <c r="BX193" s="13">
        <v>400</v>
      </c>
      <c r="BY193" s="13">
        <v>1</v>
      </c>
      <c r="BZ193" s="14">
        <f t="shared" si="53"/>
        <v>5.3999999999999999E-2</v>
      </c>
      <c r="CA193" s="13"/>
      <c r="CB193" s="14"/>
      <c r="CC193" s="13"/>
      <c r="CE193" s="13">
        <v>7</v>
      </c>
      <c r="CF193" s="13">
        <v>30</v>
      </c>
      <c r="CG193" s="13">
        <v>400</v>
      </c>
      <c r="CH193" s="13">
        <v>1</v>
      </c>
      <c r="CI193" s="14">
        <f t="shared" si="72"/>
        <v>8.4000000000000005E-2</v>
      </c>
      <c r="CJ193" s="13"/>
      <c r="CK193" s="14"/>
      <c r="CL193" s="41"/>
      <c r="CN193" s="13">
        <v>10</v>
      </c>
      <c r="CO193" s="13">
        <v>27</v>
      </c>
      <c r="CP193" s="13">
        <v>400</v>
      </c>
      <c r="CQ193" s="13">
        <v>1</v>
      </c>
      <c r="CR193" s="14">
        <f t="shared" si="67"/>
        <v>0.108</v>
      </c>
      <c r="CS193" s="13"/>
      <c r="CT193" s="14"/>
      <c r="CU193" s="41"/>
      <c r="CW193" s="122">
        <v>5</v>
      </c>
      <c r="CX193" s="122">
        <v>7</v>
      </c>
      <c r="CY193" s="122">
        <v>400</v>
      </c>
      <c r="CZ193" s="122">
        <v>124</v>
      </c>
      <c r="DA193" s="123">
        <f t="shared" si="66"/>
        <v>1.736</v>
      </c>
      <c r="DB193" s="122"/>
      <c r="DC193" s="123"/>
      <c r="DD193" s="122"/>
      <c r="DF193" s="13">
        <v>13</v>
      </c>
      <c r="DG193" s="13">
        <v>20</v>
      </c>
      <c r="DH193" s="61">
        <v>400</v>
      </c>
      <c r="DI193" s="13">
        <v>1</v>
      </c>
      <c r="DJ193" s="14">
        <f t="shared" si="68"/>
        <v>0.104</v>
      </c>
      <c r="DK193" s="13"/>
      <c r="DL193" s="14"/>
      <c r="DM193" s="41"/>
    </row>
    <row r="194" spans="2:117" ht="17.25" thickTop="1" thickBot="1" x14ac:dyDescent="0.3">
      <c r="E194" s="17">
        <f>SUM(E154:E193)</f>
        <v>545</v>
      </c>
      <c r="F194" s="18">
        <f>SUM(F154:F193)</f>
        <v>12.141520000000002</v>
      </c>
      <c r="G194" s="17">
        <f>SUM(G154:G193)</f>
        <v>545</v>
      </c>
      <c r="H194" s="18">
        <f>SUM(H154:H193)</f>
        <v>12.141519999999996</v>
      </c>
      <c r="I194" s="17"/>
      <c r="K194" s="13">
        <v>9.5</v>
      </c>
      <c r="L194" s="13">
        <v>9.5</v>
      </c>
      <c r="M194" s="13">
        <v>400</v>
      </c>
      <c r="N194" s="13">
        <v>3</v>
      </c>
      <c r="O194" s="14">
        <f t="shared" si="71"/>
        <v>0.10829999999999999</v>
      </c>
      <c r="P194" s="13">
        <f>SUM(N193:N194)</f>
        <v>7</v>
      </c>
      <c r="Q194" s="14">
        <f>SUM(O193:O194)</f>
        <v>0.3483</v>
      </c>
      <c r="R194" s="13"/>
      <c r="T194" s="13">
        <v>2.2000000000000002</v>
      </c>
      <c r="U194" s="13">
        <v>18</v>
      </c>
      <c r="V194" s="13">
        <v>400</v>
      </c>
      <c r="W194" s="13">
        <v>5</v>
      </c>
      <c r="X194" s="14">
        <f t="shared" si="65"/>
        <v>7.9200000000000007E-2</v>
      </c>
      <c r="Y194" s="13"/>
      <c r="Z194" s="14"/>
      <c r="AA194" s="13"/>
      <c r="AC194" s="13">
        <v>15</v>
      </c>
      <c r="AD194" s="13">
        <v>17</v>
      </c>
      <c r="AE194" s="13">
        <v>400</v>
      </c>
      <c r="AF194" s="13">
        <v>2</v>
      </c>
      <c r="AG194" s="14">
        <f t="shared" si="70"/>
        <v>0.20399999999999999</v>
      </c>
      <c r="AH194" s="13"/>
      <c r="AI194" s="14"/>
      <c r="AJ194" s="58" t="s">
        <v>21</v>
      </c>
      <c r="AL194" s="13">
        <v>6</v>
      </c>
      <c r="AM194" s="13">
        <v>10</v>
      </c>
      <c r="AN194" s="13">
        <v>400</v>
      </c>
      <c r="AO194" s="13">
        <v>3</v>
      </c>
      <c r="AP194" s="14">
        <f t="shared" si="69"/>
        <v>7.1999999999999995E-2</v>
      </c>
      <c r="AQ194" s="13"/>
      <c r="AR194" s="14"/>
      <c r="AS194" s="13"/>
      <c r="AU194" s="13">
        <v>2</v>
      </c>
      <c r="AV194" s="13">
        <v>25</v>
      </c>
      <c r="AW194" s="13">
        <v>300</v>
      </c>
      <c r="AX194" s="13">
        <v>1</v>
      </c>
      <c r="AY194" s="14">
        <f t="shared" si="63"/>
        <v>1.4999999999999999E-2</v>
      </c>
      <c r="AZ194" s="13"/>
      <c r="BA194" s="96"/>
      <c r="BB194" s="13"/>
      <c r="BH194" s="4"/>
      <c r="BI194" s="4"/>
      <c r="BJ194" s="4"/>
      <c r="BK194" s="4"/>
      <c r="BM194" s="13">
        <v>3.5</v>
      </c>
      <c r="BN194" s="13">
        <v>25</v>
      </c>
      <c r="BO194" s="13">
        <v>400</v>
      </c>
      <c r="BP194" s="13">
        <v>2</v>
      </c>
      <c r="BQ194" s="14">
        <f t="shared" si="64"/>
        <v>7.0000000000000007E-2</v>
      </c>
      <c r="BR194" s="13"/>
      <c r="BS194" s="14"/>
      <c r="BT194" s="13"/>
      <c r="BV194" s="13">
        <v>13</v>
      </c>
      <c r="BW194" s="13">
        <v>33</v>
      </c>
      <c r="BX194" s="13">
        <v>400</v>
      </c>
      <c r="BY194" s="13">
        <v>1</v>
      </c>
      <c r="BZ194" s="14">
        <f t="shared" si="53"/>
        <v>0.1716</v>
      </c>
      <c r="CA194" s="37">
        <f>SUM(BY147:BY194)</f>
        <v>223</v>
      </c>
      <c r="CB194" s="148">
        <f>SUM(BZ147:BZ194)</f>
        <v>11.456799999999999</v>
      </c>
      <c r="CC194" s="41" t="s">
        <v>23</v>
      </c>
      <c r="CE194" s="13">
        <v>10</v>
      </c>
      <c r="CF194" s="13">
        <v>25</v>
      </c>
      <c r="CG194" s="13">
        <v>400</v>
      </c>
      <c r="CH194" s="13">
        <v>6</v>
      </c>
      <c r="CI194" s="14">
        <f t="shared" si="72"/>
        <v>0.6</v>
      </c>
      <c r="CJ194" s="13"/>
      <c r="CK194" s="14"/>
      <c r="CL194" s="41"/>
      <c r="CN194" s="13">
        <v>10</v>
      </c>
      <c r="CO194" s="13">
        <v>30</v>
      </c>
      <c r="CP194" s="13">
        <v>400</v>
      </c>
      <c r="CQ194" s="13">
        <v>3</v>
      </c>
      <c r="CR194" s="14">
        <f t="shared" si="67"/>
        <v>0.36</v>
      </c>
      <c r="CS194" s="13"/>
      <c r="CT194" s="14"/>
      <c r="CU194" s="41"/>
      <c r="CW194" s="122">
        <v>4</v>
      </c>
      <c r="CX194" s="122">
        <v>6</v>
      </c>
      <c r="CY194" s="122">
        <v>400</v>
      </c>
      <c r="CZ194" s="122">
        <v>54</v>
      </c>
      <c r="DA194" s="123">
        <f t="shared" si="66"/>
        <v>0.51839999999999997</v>
      </c>
      <c r="DB194" s="122"/>
      <c r="DC194" s="123"/>
      <c r="DD194" s="122"/>
      <c r="DF194" s="13">
        <v>10</v>
      </c>
      <c r="DG194" s="13">
        <v>20</v>
      </c>
      <c r="DH194" s="61">
        <v>400</v>
      </c>
      <c r="DI194" s="13">
        <v>10</v>
      </c>
      <c r="DJ194" s="14">
        <f t="shared" si="68"/>
        <v>0.8</v>
      </c>
      <c r="DK194" s="13"/>
      <c r="DL194" s="14"/>
      <c r="DM194" s="41"/>
    </row>
    <row r="195" spans="2:117" ht="17.25" thickTop="1" thickBot="1" x14ac:dyDescent="0.3">
      <c r="K195" s="13">
        <v>8</v>
      </c>
      <c r="L195" s="13">
        <v>15</v>
      </c>
      <c r="M195" s="13">
        <v>400</v>
      </c>
      <c r="N195" s="13">
        <v>7</v>
      </c>
      <c r="O195" s="14">
        <f t="shared" si="71"/>
        <v>0.33600000000000002</v>
      </c>
      <c r="P195" s="13">
        <f t="shared" ref="P195:Q198" si="73">SUM(N195)</f>
        <v>7</v>
      </c>
      <c r="Q195" s="14">
        <f t="shared" si="73"/>
        <v>0.33600000000000002</v>
      </c>
      <c r="R195" s="13"/>
      <c r="T195" s="13">
        <v>2.2000000000000002</v>
      </c>
      <c r="U195" s="13">
        <v>15</v>
      </c>
      <c r="V195" s="13">
        <v>400</v>
      </c>
      <c r="W195" s="13">
        <v>14</v>
      </c>
      <c r="X195" s="14">
        <f t="shared" si="65"/>
        <v>0.18479999999999999</v>
      </c>
      <c r="Y195" s="13"/>
      <c r="Z195" s="14"/>
      <c r="AA195" s="13"/>
      <c r="AC195" s="13">
        <v>15</v>
      </c>
      <c r="AD195" s="13">
        <v>15</v>
      </c>
      <c r="AE195" s="13">
        <v>400</v>
      </c>
      <c r="AF195" s="13">
        <v>6</v>
      </c>
      <c r="AG195" s="14">
        <f t="shared" si="70"/>
        <v>0.54</v>
      </c>
      <c r="AH195" s="13">
        <f>SUM(AF183:AF195)</f>
        <v>33</v>
      </c>
      <c r="AI195" s="14">
        <f>SUM(AG183:AG195)</f>
        <v>3.8295000000000003</v>
      </c>
      <c r="AJ195" s="58" t="s">
        <v>21</v>
      </c>
      <c r="AL195" s="13">
        <v>10</v>
      </c>
      <c r="AM195" s="13">
        <v>10</v>
      </c>
      <c r="AN195" s="13">
        <v>400</v>
      </c>
      <c r="AO195" s="13">
        <v>2</v>
      </c>
      <c r="AP195" s="14">
        <f t="shared" si="69"/>
        <v>0.08</v>
      </c>
      <c r="AQ195" s="13"/>
      <c r="AR195" s="14"/>
      <c r="AS195" s="13"/>
      <c r="AU195" s="57">
        <v>3</v>
      </c>
      <c r="AV195" s="57">
        <v>5</v>
      </c>
      <c r="AW195" s="57">
        <v>300</v>
      </c>
      <c r="AX195" s="57">
        <v>10</v>
      </c>
      <c r="AY195" s="56">
        <f t="shared" si="63"/>
        <v>4.4999999999999998E-2</v>
      </c>
      <c r="AZ195" s="159">
        <f>SUM(AX158:AX195)</f>
        <v>364</v>
      </c>
      <c r="BA195" s="160">
        <f>SUM(AY158:AY195)</f>
        <v>5.7973999999999997</v>
      </c>
      <c r="BB195" s="140" t="s">
        <v>21</v>
      </c>
      <c r="BM195" s="13">
        <v>3.5</v>
      </c>
      <c r="BN195" s="13">
        <v>20</v>
      </c>
      <c r="BO195" s="13">
        <v>400</v>
      </c>
      <c r="BP195" s="13">
        <v>2</v>
      </c>
      <c r="BQ195" s="14">
        <f t="shared" si="64"/>
        <v>5.6000000000000001E-2</v>
      </c>
      <c r="BR195" s="13"/>
      <c r="BS195" s="14"/>
      <c r="BT195" s="13"/>
      <c r="BV195" s="8"/>
      <c r="BY195" s="17">
        <f>SUM(BY136:BY194)</f>
        <v>285</v>
      </c>
      <c r="BZ195" s="48">
        <f>SUM(BZ136:BZ194)</f>
        <v>12.401999999999997</v>
      </c>
      <c r="CA195" s="17">
        <f>SUM(CA136:CA194)</f>
        <v>285</v>
      </c>
      <c r="CB195" s="48">
        <f>SUM(CB136:CB194)</f>
        <v>12.401999999999999</v>
      </c>
      <c r="CC195" s="146"/>
      <c r="CE195" s="13">
        <v>13</v>
      </c>
      <c r="CF195" s="13">
        <v>25</v>
      </c>
      <c r="CG195" s="13">
        <v>400</v>
      </c>
      <c r="CH195" s="13">
        <v>8</v>
      </c>
      <c r="CI195" s="14">
        <f t="shared" si="72"/>
        <v>1.04</v>
      </c>
      <c r="CJ195" s="13"/>
      <c r="CK195" s="14"/>
      <c r="CL195" s="41"/>
      <c r="CN195" s="13">
        <v>15</v>
      </c>
      <c r="CO195" s="13">
        <v>30</v>
      </c>
      <c r="CP195" s="13">
        <v>400</v>
      </c>
      <c r="CQ195" s="13">
        <v>3</v>
      </c>
      <c r="CR195" s="14">
        <f t="shared" si="67"/>
        <v>0.54</v>
      </c>
      <c r="CS195" s="13"/>
      <c r="CT195" s="14"/>
      <c r="CU195" s="41"/>
      <c r="CW195" s="122">
        <v>3</v>
      </c>
      <c r="CX195" s="122">
        <v>5</v>
      </c>
      <c r="CY195" s="122">
        <v>400</v>
      </c>
      <c r="CZ195" s="122">
        <v>330</v>
      </c>
      <c r="DA195" s="123">
        <f t="shared" si="66"/>
        <v>1.98</v>
      </c>
      <c r="DB195" s="122"/>
      <c r="DC195" s="123"/>
      <c r="DD195" s="122"/>
      <c r="DF195" s="13">
        <v>8</v>
      </c>
      <c r="DG195" s="13">
        <v>20</v>
      </c>
      <c r="DH195" s="61">
        <v>400</v>
      </c>
      <c r="DI195" s="13">
        <v>5</v>
      </c>
      <c r="DJ195" s="14">
        <f t="shared" si="68"/>
        <v>0.32</v>
      </c>
      <c r="DK195" s="13"/>
      <c r="DL195" s="14"/>
      <c r="DM195" s="41"/>
    </row>
    <row r="196" spans="2:117" ht="16.5" thickTop="1" x14ac:dyDescent="0.25">
      <c r="B196" s="231" t="s">
        <v>19</v>
      </c>
      <c r="C196" s="231"/>
      <c r="D196" s="231"/>
      <c r="E196" s="231"/>
      <c r="F196" s="231"/>
      <c r="G196" s="231"/>
      <c r="H196" s="231"/>
      <c r="I196" s="231"/>
      <c r="K196" s="13">
        <v>6</v>
      </c>
      <c r="L196" s="13">
        <v>15</v>
      </c>
      <c r="M196" s="13">
        <v>400</v>
      </c>
      <c r="N196" s="13">
        <v>11</v>
      </c>
      <c r="O196" s="14">
        <f t="shared" si="71"/>
        <v>0.39600000000000002</v>
      </c>
      <c r="P196" s="13">
        <f t="shared" si="73"/>
        <v>11</v>
      </c>
      <c r="Q196" s="14">
        <f t="shared" si="73"/>
        <v>0.39600000000000002</v>
      </c>
      <c r="R196" s="13"/>
      <c r="T196" s="13">
        <v>2.2000000000000002</v>
      </c>
      <c r="U196" s="13">
        <v>13</v>
      </c>
      <c r="V196" s="13">
        <v>400</v>
      </c>
      <c r="W196" s="13">
        <v>2</v>
      </c>
      <c r="X196" s="14">
        <f t="shared" si="65"/>
        <v>2.2880000000000001E-2</v>
      </c>
      <c r="Y196" s="13"/>
      <c r="Z196" s="14"/>
      <c r="AA196" s="13"/>
      <c r="AC196" s="13">
        <v>12</v>
      </c>
      <c r="AD196" s="13">
        <v>15</v>
      </c>
      <c r="AE196" s="13">
        <v>400</v>
      </c>
      <c r="AF196" s="13">
        <v>12</v>
      </c>
      <c r="AG196" s="14">
        <f t="shared" si="70"/>
        <v>0.86399999999999999</v>
      </c>
      <c r="AH196" s="13">
        <f t="shared" ref="AH196:AI199" si="74">SUM(AF196)</f>
        <v>12</v>
      </c>
      <c r="AI196" s="14">
        <f t="shared" si="74"/>
        <v>0.86399999999999999</v>
      </c>
      <c r="AJ196" s="58" t="s">
        <v>21</v>
      </c>
      <c r="AL196" s="13">
        <v>5</v>
      </c>
      <c r="AM196" s="13">
        <v>10</v>
      </c>
      <c r="AN196" s="13">
        <v>400</v>
      </c>
      <c r="AO196" s="13">
        <v>23</v>
      </c>
      <c r="AP196" s="14">
        <f t="shared" si="69"/>
        <v>0.46</v>
      </c>
      <c r="AQ196" s="13"/>
      <c r="AR196" s="14"/>
      <c r="AS196" s="13"/>
      <c r="AU196" s="13">
        <v>13</v>
      </c>
      <c r="AV196" s="13">
        <v>33</v>
      </c>
      <c r="AW196" s="13">
        <v>400</v>
      </c>
      <c r="AX196" s="13">
        <v>2</v>
      </c>
      <c r="AY196" s="14">
        <f t="shared" si="63"/>
        <v>0.34320000000000001</v>
      </c>
      <c r="AZ196" s="13"/>
      <c r="BA196" s="20"/>
      <c r="BB196" s="13"/>
      <c r="BD196" s="231" t="s">
        <v>19</v>
      </c>
      <c r="BE196" s="231"/>
      <c r="BF196" s="231"/>
      <c r="BG196" s="231"/>
      <c r="BH196" s="231"/>
      <c r="BI196" s="231"/>
      <c r="BJ196" s="231"/>
      <c r="BK196" s="231"/>
      <c r="BM196" s="13">
        <v>8</v>
      </c>
      <c r="BN196" s="13">
        <v>20</v>
      </c>
      <c r="BO196" s="13">
        <v>400</v>
      </c>
      <c r="BP196" s="13">
        <v>3</v>
      </c>
      <c r="BQ196" s="14">
        <f t="shared" si="64"/>
        <v>0.192</v>
      </c>
      <c r="BR196" s="13"/>
      <c r="BS196" s="14"/>
      <c r="BT196" s="13"/>
      <c r="BV196" s="8"/>
      <c r="CE196" s="13">
        <v>15</v>
      </c>
      <c r="CF196" s="13">
        <v>25</v>
      </c>
      <c r="CG196" s="13">
        <v>400</v>
      </c>
      <c r="CH196" s="13">
        <v>3</v>
      </c>
      <c r="CI196" s="14">
        <f t="shared" si="72"/>
        <v>0.45</v>
      </c>
      <c r="CJ196" s="13"/>
      <c r="CK196" s="14"/>
      <c r="CL196" s="41"/>
      <c r="CN196" s="13">
        <v>10</v>
      </c>
      <c r="CO196" s="13">
        <v>28</v>
      </c>
      <c r="CP196" s="13">
        <v>400</v>
      </c>
      <c r="CQ196" s="13">
        <v>1</v>
      </c>
      <c r="CR196" s="14">
        <f t="shared" si="67"/>
        <v>0.112</v>
      </c>
      <c r="CS196" s="13"/>
      <c r="CT196" s="14"/>
      <c r="CU196" s="41"/>
      <c r="CW196" s="122">
        <v>2</v>
      </c>
      <c r="CX196" s="122">
        <v>3</v>
      </c>
      <c r="CY196" s="122">
        <v>400</v>
      </c>
      <c r="CZ196" s="122">
        <v>200</v>
      </c>
      <c r="DA196" s="123">
        <f t="shared" si="66"/>
        <v>0.48</v>
      </c>
      <c r="DB196" s="122">
        <f>SUM(CZ193:CZ196)</f>
        <v>708</v>
      </c>
      <c r="DC196" s="125">
        <f>SUM(DA193:DA196)</f>
        <v>4.7143999999999995</v>
      </c>
      <c r="DD196" s="126" t="s">
        <v>23</v>
      </c>
      <c r="DF196" s="13">
        <v>7</v>
      </c>
      <c r="DG196" s="13">
        <v>20</v>
      </c>
      <c r="DH196" s="61">
        <v>400</v>
      </c>
      <c r="DI196" s="13">
        <v>6</v>
      </c>
      <c r="DJ196" s="14">
        <f t="shared" si="68"/>
        <v>0.33600000000000002</v>
      </c>
      <c r="DK196" s="13"/>
      <c r="DL196" s="14"/>
      <c r="DM196" s="41"/>
    </row>
    <row r="197" spans="2:117" ht="16.5" thickBot="1" x14ac:dyDescent="0.3">
      <c r="B197" s="231"/>
      <c r="C197" s="231"/>
      <c r="D197" s="231"/>
      <c r="E197" s="231"/>
      <c r="F197" s="231"/>
      <c r="G197" s="231"/>
      <c r="H197" s="231"/>
      <c r="I197" s="231"/>
      <c r="K197" s="13">
        <v>5</v>
      </c>
      <c r="L197" s="13">
        <v>15</v>
      </c>
      <c r="M197" s="13">
        <v>400</v>
      </c>
      <c r="N197" s="13">
        <v>1</v>
      </c>
      <c r="O197" s="14">
        <f t="shared" si="71"/>
        <v>0.03</v>
      </c>
      <c r="P197" s="13">
        <f t="shared" si="73"/>
        <v>1</v>
      </c>
      <c r="Q197" s="14">
        <f t="shared" si="73"/>
        <v>0.03</v>
      </c>
      <c r="R197" s="13"/>
      <c r="T197" s="13">
        <v>2.2000000000000002</v>
      </c>
      <c r="U197" s="13">
        <v>10</v>
      </c>
      <c r="V197" s="13">
        <v>400</v>
      </c>
      <c r="W197" s="13">
        <v>3</v>
      </c>
      <c r="X197" s="14">
        <f t="shared" si="65"/>
        <v>2.64E-2</v>
      </c>
      <c r="Y197" s="13">
        <f>SUM(W192:W197)</f>
        <v>29</v>
      </c>
      <c r="Z197" s="14">
        <f>SUM(X192:X197)</f>
        <v>0.40391999999999995</v>
      </c>
      <c r="AA197" s="13"/>
      <c r="AC197" s="13">
        <v>10</v>
      </c>
      <c r="AD197" s="13">
        <v>15</v>
      </c>
      <c r="AE197" s="13">
        <v>400</v>
      </c>
      <c r="AF197" s="13">
        <v>27</v>
      </c>
      <c r="AG197" s="14">
        <f t="shared" si="70"/>
        <v>1.62</v>
      </c>
      <c r="AH197" s="13">
        <f t="shared" si="74"/>
        <v>27</v>
      </c>
      <c r="AI197" s="14">
        <f t="shared" si="74"/>
        <v>1.62</v>
      </c>
      <c r="AJ197" s="58" t="s">
        <v>21</v>
      </c>
      <c r="AL197" s="13">
        <v>4</v>
      </c>
      <c r="AM197" s="13">
        <v>12</v>
      </c>
      <c r="AN197" s="13">
        <v>400</v>
      </c>
      <c r="AO197" s="13">
        <v>1</v>
      </c>
      <c r="AP197" s="14">
        <f t="shared" si="69"/>
        <v>1.9199999999999998E-2</v>
      </c>
      <c r="AQ197" s="13"/>
      <c r="AR197" s="14"/>
      <c r="AS197" s="13"/>
      <c r="AU197" s="13">
        <v>10</v>
      </c>
      <c r="AV197" s="13">
        <v>33</v>
      </c>
      <c r="AW197" s="13">
        <v>400</v>
      </c>
      <c r="AX197" s="13">
        <v>2</v>
      </c>
      <c r="AY197" s="14">
        <f t="shared" si="63"/>
        <v>0.26400000000000001</v>
      </c>
      <c r="AZ197" s="13"/>
      <c r="BA197" s="14"/>
      <c r="BB197" s="13"/>
      <c r="BD197" s="231"/>
      <c r="BE197" s="231"/>
      <c r="BF197" s="231"/>
      <c r="BG197" s="231"/>
      <c r="BH197" s="231"/>
      <c r="BI197" s="231"/>
      <c r="BJ197" s="231"/>
      <c r="BK197" s="231"/>
      <c r="BM197" s="13">
        <v>8</v>
      </c>
      <c r="BN197" s="13">
        <v>27</v>
      </c>
      <c r="BO197" s="13">
        <v>400</v>
      </c>
      <c r="BP197" s="13">
        <v>1</v>
      </c>
      <c r="BQ197" s="14">
        <f t="shared" si="64"/>
        <v>8.6400000000000005E-2</v>
      </c>
      <c r="BR197" s="13"/>
      <c r="BS197" s="14"/>
      <c r="BT197" s="13"/>
      <c r="BV197" s="8" t="s">
        <v>130</v>
      </c>
      <c r="CE197" s="13">
        <v>7</v>
      </c>
      <c r="CF197" s="13">
        <v>25</v>
      </c>
      <c r="CG197" s="13">
        <v>400</v>
      </c>
      <c r="CH197" s="13">
        <v>3</v>
      </c>
      <c r="CI197" s="14">
        <f t="shared" si="72"/>
        <v>0.21</v>
      </c>
      <c r="CJ197" s="13"/>
      <c r="CK197" s="14"/>
      <c r="CL197" s="41"/>
      <c r="CN197" s="13">
        <v>13</v>
      </c>
      <c r="CO197" s="13">
        <v>33</v>
      </c>
      <c r="CP197" s="13">
        <v>400</v>
      </c>
      <c r="CQ197" s="13">
        <v>1</v>
      </c>
      <c r="CR197" s="14">
        <f t="shared" si="67"/>
        <v>0.1716</v>
      </c>
      <c r="CS197" s="13"/>
      <c r="CT197" s="14"/>
      <c r="CU197" s="41"/>
      <c r="CW197" s="115"/>
      <c r="CX197" s="115"/>
      <c r="CY197" s="115"/>
      <c r="CZ197" s="17">
        <f>SUM(CZ168:CZ196)</f>
        <v>784</v>
      </c>
      <c r="DA197" s="32">
        <f>SUM(DA168:DA196)</f>
        <v>12.041720000000002</v>
      </c>
      <c r="DB197" s="17">
        <f>SUM(DB168:DB196)</f>
        <v>784</v>
      </c>
      <c r="DC197" s="32">
        <f>SUM(DC168:DC196)</f>
        <v>12.04172</v>
      </c>
      <c r="DD197" s="146"/>
      <c r="DF197" s="13">
        <v>4.5</v>
      </c>
      <c r="DG197" s="13">
        <v>20</v>
      </c>
      <c r="DH197" s="61">
        <v>400</v>
      </c>
      <c r="DI197" s="13">
        <v>18</v>
      </c>
      <c r="DJ197" s="14">
        <f t="shared" si="68"/>
        <v>0.64800000000000002</v>
      </c>
      <c r="DK197" s="13"/>
      <c r="DL197" s="14"/>
      <c r="DM197" s="41"/>
    </row>
    <row r="198" spans="2:117" ht="16.5" thickTop="1" x14ac:dyDescent="0.25">
      <c r="B198" s="28" t="s">
        <v>18</v>
      </c>
      <c r="C198" s="27" t="s">
        <v>28</v>
      </c>
      <c r="D198" s="26"/>
      <c r="E198" s="26"/>
      <c r="F198" s="26"/>
      <c r="G198" s="26"/>
      <c r="H198" s="26"/>
      <c r="I198" s="26"/>
      <c r="K198" s="13">
        <v>4.5</v>
      </c>
      <c r="L198" s="13">
        <v>9.5</v>
      </c>
      <c r="M198" s="13">
        <v>400</v>
      </c>
      <c r="N198" s="13">
        <v>9</v>
      </c>
      <c r="O198" s="14">
        <f t="shared" si="71"/>
        <v>0.15390000000000001</v>
      </c>
      <c r="P198" s="13">
        <f t="shared" si="73"/>
        <v>9</v>
      </c>
      <c r="Q198" s="14">
        <f t="shared" si="73"/>
        <v>0.15390000000000001</v>
      </c>
      <c r="R198" s="13"/>
      <c r="T198" s="13">
        <v>1.7</v>
      </c>
      <c r="U198" s="13">
        <v>18</v>
      </c>
      <c r="V198" s="13">
        <v>400</v>
      </c>
      <c r="W198" s="13">
        <v>2</v>
      </c>
      <c r="X198" s="14">
        <f t="shared" si="65"/>
        <v>2.4479999999999998E-2</v>
      </c>
      <c r="Y198" s="13"/>
      <c r="Z198" s="14"/>
      <c r="AA198" s="13"/>
      <c r="AC198" s="13">
        <v>9.5</v>
      </c>
      <c r="AD198" s="13">
        <v>9.5</v>
      </c>
      <c r="AE198" s="13">
        <v>400</v>
      </c>
      <c r="AF198" s="13">
        <v>4</v>
      </c>
      <c r="AG198" s="14">
        <f t="shared" si="70"/>
        <v>0.1444</v>
      </c>
      <c r="AH198" s="13">
        <f t="shared" si="74"/>
        <v>4</v>
      </c>
      <c r="AI198" s="14">
        <f t="shared" si="74"/>
        <v>0.1444</v>
      </c>
      <c r="AJ198" s="58" t="s">
        <v>21</v>
      </c>
      <c r="AL198" s="13">
        <v>5</v>
      </c>
      <c r="AM198" s="13">
        <v>12</v>
      </c>
      <c r="AN198" s="13">
        <v>400</v>
      </c>
      <c r="AO198" s="13">
        <v>1</v>
      </c>
      <c r="AP198" s="14">
        <f t="shared" si="69"/>
        <v>2.4E-2</v>
      </c>
      <c r="AQ198" s="13"/>
      <c r="AR198" s="14"/>
      <c r="AS198" s="13"/>
      <c r="AU198" s="13">
        <v>10</v>
      </c>
      <c r="AV198" s="13">
        <v>30</v>
      </c>
      <c r="AW198" s="13">
        <v>400</v>
      </c>
      <c r="AX198" s="13">
        <v>1</v>
      </c>
      <c r="AY198" s="14">
        <f t="shared" si="63"/>
        <v>0.12</v>
      </c>
      <c r="AZ198" s="13"/>
      <c r="BA198" s="14"/>
      <c r="BB198" s="13"/>
      <c r="BD198" s="28" t="s">
        <v>18</v>
      </c>
      <c r="BE198" s="27" t="s">
        <v>109</v>
      </c>
      <c r="BF198" s="26"/>
      <c r="BG198" s="26"/>
      <c r="BH198" s="26"/>
      <c r="BI198" s="26"/>
      <c r="BJ198" s="232" t="s">
        <v>115</v>
      </c>
      <c r="BK198" s="233"/>
      <c r="BM198" s="13">
        <v>10</v>
      </c>
      <c r="BN198" s="13">
        <v>23</v>
      </c>
      <c r="BO198" s="13">
        <v>400</v>
      </c>
      <c r="BP198" s="13">
        <v>1</v>
      </c>
      <c r="BQ198" s="14">
        <f t="shared" si="64"/>
        <v>9.1999999999999998E-2</v>
      </c>
      <c r="BR198" s="13"/>
      <c r="BS198" s="14"/>
      <c r="BT198" s="13"/>
      <c r="BV198" s="4" t="s">
        <v>24</v>
      </c>
      <c r="BW198" s="4"/>
      <c r="BX198" s="6">
        <f>SUM(BY76)</f>
        <v>288</v>
      </c>
      <c r="BY198" s="7">
        <f>SUM(BZ76)</f>
        <v>11.924600000000003</v>
      </c>
      <c r="BZ198" s="7" t="s">
        <v>23</v>
      </c>
      <c r="CA198" s="6">
        <f>SUM(CA194+CA126+CA75+CA66)</f>
        <v>1001</v>
      </c>
      <c r="CB198" s="7">
        <f>SUM(CB194+CB126+CB75+CB66)</f>
        <v>35.804800000000007</v>
      </c>
      <c r="CE198" s="13">
        <v>8</v>
      </c>
      <c r="CF198" s="13">
        <v>25</v>
      </c>
      <c r="CG198" s="13">
        <v>400</v>
      </c>
      <c r="CH198" s="13">
        <v>1</v>
      </c>
      <c r="CI198" s="14">
        <f t="shared" si="72"/>
        <v>0.08</v>
      </c>
      <c r="CJ198" s="13"/>
      <c r="CK198" s="14"/>
      <c r="CL198" s="41"/>
      <c r="CN198" s="13">
        <v>13</v>
      </c>
      <c r="CO198" s="13">
        <v>15</v>
      </c>
      <c r="CP198" s="13">
        <v>400</v>
      </c>
      <c r="CQ198" s="13">
        <v>5</v>
      </c>
      <c r="CR198" s="14">
        <f t="shared" si="67"/>
        <v>0.39</v>
      </c>
      <c r="CS198" s="37"/>
      <c r="CT198" s="36"/>
      <c r="CU198" s="41"/>
      <c r="DF198" s="13">
        <v>3.5</v>
      </c>
      <c r="DG198" s="13">
        <v>20</v>
      </c>
      <c r="DH198" s="61">
        <v>400</v>
      </c>
      <c r="DI198" s="13">
        <v>1</v>
      </c>
      <c r="DJ198" s="14">
        <f t="shared" si="68"/>
        <v>2.8000000000000001E-2</v>
      </c>
      <c r="DK198" s="13"/>
      <c r="DL198" s="14"/>
      <c r="DM198" s="41"/>
    </row>
    <row r="199" spans="2:117" ht="15.75" x14ac:dyDescent="0.25">
      <c r="B199" s="28" t="s">
        <v>16</v>
      </c>
      <c r="C199" s="27" t="s">
        <v>27</v>
      </c>
      <c r="D199" s="26"/>
      <c r="E199" s="26"/>
      <c r="F199" s="26"/>
      <c r="G199" s="26"/>
      <c r="H199" s="26"/>
      <c r="I199" s="26"/>
      <c r="K199" s="13">
        <v>3</v>
      </c>
      <c r="L199" s="13">
        <v>12.5</v>
      </c>
      <c r="M199" s="13">
        <v>400</v>
      </c>
      <c r="N199" s="13">
        <v>3</v>
      </c>
      <c r="O199" s="14">
        <f t="shared" si="71"/>
        <v>4.4999999999999998E-2</v>
      </c>
      <c r="P199" s="13"/>
      <c r="Q199" s="14"/>
      <c r="R199" s="13"/>
      <c r="T199" s="13">
        <v>1.7</v>
      </c>
      <c r="U199" s="13">
        <v>15</v>
      </c>
      <c r="V199" s="13">
        <v>400</v>
      </c>
      <c r="W199" s="13">
        <v>4</v>
      </c>
      <c r="X199" s="14">
        <f t="shared" si="65"/>
        <v>4.0800000000000003E-2</v>
      </c>
      <c r="Y199" s="13"/>
      <c r="Z199" s="14"/>
      <c r="AA199" s="13"/>
      <c r="AC199" s="13">
        <v>6</v>
      </c>
      <c r="AD199" s="13">
        <v>15</v>
      </c>
      <c r="AE199" s="13">
        <v>400</v>
      </c>
      <c r="AF199" s="13">
        <v>21</v>
      </c>
      <c r="AG199" s="14">
        <f t="shared" si="70"/>
        <v>0.75600000000000001</v>
      </c>
      <c r="AH199" s="13">
        <f t="shared" si="74"/>
        <v>21</v>
      </c>
      <c r="AI199" s="14">
        <f t="shared" si="74"/>
        <v>0.75600000000000001</v>
      </c>
      <c r="AJ199" s="58" t="s">
        <v>21</v>
      </c>
      <c r="AL199" s="13">
        <v>7</v>
      </c>
      <c r="AM199" s="13">
        <v>20</v>
      </c>
      <c r="AN199" s="13">
        <v>300</v>
      </c>
      <c r="AO199" s="13">
        <v>1</v>
      </c>
      <c r="AP199" s="20">
        <f t="shared" si="69"/>
        <v>4.2000000000000003E-2</v>
      </c>
      <c r="AQ199" s="13"/>
      <c r="AR199" s="20"/>
      <c r="AS199" s="13"/>
      <c r="AU199" s="13">
        <v>13</v>
      </c>
      <c r="AV199" s="13">
        <v>28</v>
      </c>
      <c r="AW199" s="13">
        <v>400</v>
      </c>
      <c r="AX199" s="13">
        <v>1</v>
      </c>
      <c r="AY199" s="14">
        <f t="shared" si="63"/>
        <v>0.14560000000000001</v>
      </c>
      <c r="AZ199" s="13"/>
      <c r="BA199" s="14"/>
      <c r="BB199" s="13"/>
      <c r="BD199" s="28" t="s">
        <v>16</v>
      </c>
      <c r="BE199" s="27" t="s">
        <v>110</v>
      </c>
      <c r="BF199" s="26"/>
      <c r="BG199" s="26"/>
      <c r="BH199" s="26"/>
      <c r="BI199" s="26"/>
      <c r="BJ199" s="234"/>
      <c r="BK199" s="235"/>
      <c r="BM199" s="13">
        <v>7</v>
      </c>
      <c r="BN199" s="13">
        <v>23</v>
      </c>
      <c r="BO199" s="13">
        <v>400</v>
      </c>
      <c r="BP199" s="13">
        <v>1</v>
      </c>
      <c r="BQ199" s="14">
        <f t="shared" si="64"/>
        <v>6.4399999999999999E-2</v>
      </c>
      <c r="BR199" s="13"/>
      <c r="BS199" s="14"/>
      <c r="BT199" s="13"/>
      <c r="BV199" s="4" t="s">
        <v>22</v>
      </c>
      <c r="BW199" s="4"/>
      <c r="BX199" s="6">
        <f>SUM(BY127)</f>
        <v>527</v>
      </c>
      <c r="BY199" s="5">
        <f>SUM(BZ127)</f>
        <v>13.432000000000004</v>
      </c>
      <c r="BZ199" s="7" t="s">
        <v>21</v>
      </c>
      <c r="CA199" s="6">
        <f>SUM(CA146+CA20+CA23)</f>
        <v>99</v>
      </c>
      <c r="CB199" s="7">
        <f>SUM(CB146+CB20+CB23)</f>
        <v>1.9538000000000002</v>
      </c>
      <c r="CE199" s="13">
        <v>2.2000000000000002</v>
      </c>
      <c r="CF199" s="13">
        <v>25</v>
      </c>
      <c r="CG199" s="13">
        <v>400</v>
      </c>
      <c r="CH199" s="13">
        <v>2</v>
      </c>
      <c r="CI199" s="14">
        <f t="shared" si="72"/>
        <v>4.4000000000000004E-2</v>
      </c>
      <c r="CJ199" s="13"/>
      <c r="CK199" s="14"/>
      <c r="CL199" s="41"/>
      <c r="CN199" s="13">
        <v>7</v>
      </c>
      <c r="CO199" s="13">
        <v>15</v>
      </c>
      <c r="CP199" s="13">
        <v>400</v>
      </c>
      <c r="CQ199" s="13">
        <v>4</v>
      </c>
      <c r="CR199" s="14">
        <f t="shared" si="67"/>
        <v>0.16800000000000001</v>
      </c>
      <c r="CS199" s="13"/>
      <c r="CT199" s="14"/>
      <c r="CU199" s="13"/>
      <c r="CW199" s="231" t="s">
        <v>19</v>
      </c>
      <c r="CX199" s="231"/>
      <c r="CY199" s="231"/>
      <c r="CZ199" s="231"/>
      <c r="DA199" s="231"/>
      <c r="DB199" s="231"/>
      <c r="DC199" s="231"/>
      <c r="DD199" s="231"/>
      <c r="DF199" s="13">
        <v>2.2000000000000002</v>
      </c>
      <c r="DG199" s="13">
        <v>20</v>
      </c>
      <c r="DH199" s="61">
        <v>400</v>
      </c>
      <c r="DI199" s="13">
        <v>3</v>
      </c>
      <c r="DJ199" s="14">
        <f t="shared" si="68"/>
        <v>5.28E-2</v>
      </c>
      <c r="DK199" s="37"/>
      <c r="DL199" s="36"/>
      <c r="DM199" s="41"/>
    </row>
    <row r="200" spans="2:117" ht="16.5" thickBot="1" x14ac:dyDescent="0.3">
      <c r="B200" s="25"/>
      <c r="C200" s="25"/>
      <c r="D200" s="25"/>
      <c r="E200" s="25"/>
      <c r="F200" s="25"/>
      <c r="G200" s="225" t="s">
        <v>26</v>
      </c>
      <c r="H200" s="225"/>
      <c r="I200" s="225"/>
      <c r="K200" s="13">
        <v>3</v>
      </c>
      <c r="L200" s="13">
        <v>15</v>
      </c>
      <c r="M200" s="13">
        <v>400</v>
      </c>
      <c r="N200" s="13">
        <v>12</v>
      </c>
      <c r="O200" s="14">
        <f t="shared" si="71"/>
        <v>0.216</v>
      </c>
      <c r="P200" s="13"/>
      <c r="Q200" s="14"/>
      <c r="R200" s="13"/>
      <c r="T200" s="13">
        <v>1.7</v>
      </c>
      <c r="U200" s="13">
        <v>10</v>
      </c>
      <c r="V200" s="13">
        <v>400</v>
      </c>
      <c r="W200" s="13">
        <v>1</v>
      </c>
      <c r="X200" s="14">
        <f t="shared" si="65"/>
        <v>6.7999999999999996E-3</v>
      </c>
      <c r="Y200" s="13">
        <f>SUM(W198:W200)</f>
        <v>7</v>
      </c>
      <c r="Z200" s="14">
        <f>SUM(X198:X200)</f>
        <v>7.2080000000000005E-2</v>
      </c>
      <c r="AA200" s="13"/>
      <c r="AC200" s="13">
        <v>4.5</v>
      </c>
      <c r="AD200" s="13">
        <v>9.5</v>
      </c>
      <c r="AE200" s="13">
        <v>400</v>
      </c>
      <c r="AF200" s="13">
        <v>41</v>
      </c>
      <c r="AG200" s="14">
        <f t="shared" si="70"/>
        <v>0.70109999999999995</v>
      </c>
      <c r="AH200" s="13"/>
      <c r="AI200" s="14"/>
      <c r="AJ200" s="58" t="s">
        <v>21</v>
      </c>
      <c r="AL200" s="13">
        <v>6</v>
      </c>
      <c r="AM200" s="13">
        <v>15</v>
      </c>
      <c r="AN200" s="13">
        <v>300</v>
      </c>
      <c r="AO200" s="13">
        <v>1</v>
      </c>
      <c r="AP200" s="20">
        <f t="shared" si="69"/>
        <v>2.7E-2</v>
      </c>
      <c r="AQ200" s="13"/>
      <c r="AR200" s="20"/>
      <c r="AS200" s="13"/>
      <c r="AU200" s="13">
        <v>10</v>
      </c>
      <c r="AV200" s="13">
        <v>28</v>
      </c>
      <c r="AW200" s="13">
        <v>400</v>
      </c>
      <c r="AX200" s="13">
        <v>1</v>
      </c>
      <c r="AY200" s="14">
        <f t="shared" si="63"/>
        <v>0.112</v>
      </c>
      <c r="AZ200" s="13"/>
      <c r="BA200" s="14"/>
      <c r="BB200" s="13"/>
      <c r="BD200" s="43"/>
      <c r="BE200" s="25"/>
      <c r="BF200" s="25"/>
      <c r="BG200" s="25"/>
      <c r="BH200" s="25"/>
      <c r="BI200" s="225" t="s">
        <v>111</v>
      </c>
      <c r="BJ200" s="225"/>
      <c r="BK200" s="225"/>
      <c r="BM200" s="13">
        <v>7</v>
      </c>
      <c r="BN200" s="13">
        <v>25</v>
      </c>
      <c r="BO200" s="13">
        <v>400</v>
      </c>
      <c r="BP200" s="13">
        <v>1</v>
      </c>
      <c r="BQ200" s="14">
        <f t="shared" si="64"/>
        <v>7.0000000000000007E-2</v>
      </c>
      <c r="BR200" s="13"/>
      <c r="BS200" s="14"/>
      <c r="BT200" s="13"/>
      <c r="BV200" s="4" t="s">
        <v>20</v>
      </c>
      <c r="BW200" s="4"/>
      <c r="BX200" s="6">
        <f>SUM(BY195)</f>
        <v>285</v>
      </c>
      <c r="BY200" s="5">
        <f>SUM(BZ195)</f>
        <v>12.401999999999997</v>
      </c>
      <c r="BZ200" s="4"/>
      <c r="CA200" s="3">
        <f>SUM(CA198:CA199)</f>
        <v>1100</v>
      </c>
      <c r="CB200" s="53">
        <f>SUM(CB198:CB199)</f>
        <v>37.758600000000008</v>
      </c>
      <c r="CE200" s="13">
        <v>4.5</v>
      </c>
      <c r="CF200" s="13">
        <v>25</v>
      </c>
      <c r="CG200" s="13">
        <v>400</v>
      </c>
      <c r="CH200" s="13">
        <v>1</v>
      </c>
      <c r="CI200" s="14">
        <f t="shared" si="72"/>
        <v>4.4999999999999998E-2</v>
      </c>
      <c r="CJ200" s="13"/>
      <c r="CK200" s="14"/>
      <c r="CL200" s="41"/>
      <c r="CN200" s="13">
        <v>10</v>
      </c>
      <c r="CO200" s="13">
        <v>15</v>
      </c>
      <c r="CP200" s="13">
        <v>400</v>
      </c>
      <c r="CQ200" s="13">
        <v>8</v>
      </c>
      <c r="CR200" s="14">
        <f t="shared" si="67"/>
        <v>0.48</v>
      </c>
      <c r="CS200" s="13"/>
      <c r="CT200" s="14"/>
      <c r="CU200" s="13"/>
      <c r="CW200" s="231"/>
      <c r="CX200" s="231"/>
      <c r="CY200" s="231"/>
      <c r="CZ200" s="231"/>
      <c r="DA200" s="231"/>
      <c r="DB200" s="231"/>
      <c r="DC200" s="231"/>
      <c r="DD200" s="231"/>
      <c r="DF200" s="13">
        <v>13</v>
      </c>
      <c r="DG200" s="13">
        <v>15</v>
      </c>
      <c r="DH200" s="61">
        <v>400</v>
      </c>
      <c r="DI200" s="13">
        <v>4</v>
      </c>
      <c r="DJ200" s="14">
        <f t="shared" si="68"/>
        <v>0.312</v>
      </c>
      <c r="DK200" s="13"/>
      <c r="DL200" s="14"/>
      <c r="DM200" s="13"/>
    </row>
    <row r="201" spans="2:117" ht="17.25" thickTop="1" thickBot="1" x14ac:dyDescent="0.3">
      <c r="B201" s="226" t="s">
        <v>13</v>
      </c>
      <c r="C201" s="227"/>
      <c r="D201" s="228"/>
      <c r="E201" s="227" t="s">
        <v>12</v>
      </c>
      <c r="F201" s="228"/>
      <c r="G201" s="227" t="s">
        <v>12</v>
      </c>
      <c r="H201" s="228"/>
      <c r="I201" s="229" t="s">
        <v>11</v>
      </c>
      <c r="K201" s="13">
        <v>2</v>
      </c>
      <c r="L201" s="13">
        <v>15</v>
      </c>
      <c r="M201" s="13">
        <v>400</v>
      </c>
      <c r="N201" s="13">
        <v>1</v>
      </c>
      <c r="O201" s="14">
        <f t="shared" si="71"/>
        <v>1.2E-2</v>
      </c>
      <c r="P201" s="13"/>
      <c r="Q201" s="14"/>
      <c r="R201" s="13"/>
      <c r="T201" s="237"/>
      <c r="U201" s="237"/>
      <c r="V201" s="238"/>
      <c r="W201" s="17">
        <f>SUM(W162:W200)</f>
        <v>240</v>
      </c>
      <c r="X201" s="32">
        <f>SUM(X162:X200)</f>
        <v>12.798600000000006</v>
      </c>
      <c r="Y201" s="17">
        <f>SUM(Y162:Y200)</f>
        <v>240</v>
      </c>
      <c r="Z201" s="32">
        <f>SUM(Z162:Z200)</f>
        <v>12.798599999999999</v>
      </c>
      <c r="AA201" s="17"/>
      <c r="AC201" s="13">
        <v>4.5</v>
      </c>
      <c r="AD201" s="13">
        <v>9.5</v>
      </c>
      <c r="AE201" s="13">
        <v>300</v>
      </c>
      <c r="AF201" s="13">
        <v>2</v>
      </c>
      <c r="AG201" s="14">
        <f t="shared" si="70"/>
        <v>2.5649999999999999E-2</v>
      </c>
      <c r="AH201" s="13">
        <f>SUM(AF200:AF201)</f>
        <v>43</v>
      </c>
      <c r="AI201" s="14">
        <f>SUM(AG200:AG201)</f>
        <v>0.7267499999999999</v>
      </c>
      <c r="AJ201" s="58" t="s">
        <v>21</v>
      </c>
      <c r="AL201" s="13">
        <v>2</v>
      </c>
      <c r="AM201" s="13">
        <v>10</v>
      </c>
      <c r="AN201" s="13">
        <v>300</v>
      </c>
      <c r="AO201" s="13">
        <v>28</v>
      </c>
      <c r="AP201" s="20">
        <f t="shared" si="69"/>
        <v>0.16800000000000001</v>
      </c>
      <c r="AQ201" s="13"/>
      <c r="AR201" s="20"/>
      <c r="AS201" s="13"/>
      <c r="AU201" s="13">
        <v>15</v>
      </c>
      <c r="AV201" s="13">
        <v>30</v>
      </c>
      <c r="AW201" s="13">
        <v>400</v>
      </c>
      <c r="AX201" s="13">
        <v>1</v>
      </c>
      <c r="AY201" s="14">
        <f t="shared" si="63"/>
        <v>0.18</v>
      </c>
      <c r="AZ201" s="13"/>
      <c r="BA201" s="14"/>
      <c r="BB201" s="13"/>
      <c r="BD201" s="226" t="s">
        <v>13</v>
      </c>
      <c r="BE201" s="227"/>
      <c r="BF201" s="228"/>
      <c r="BG201" s="227" t="s">
        <v>12</v>
      </c>
      <c r="BH201" s="228"/>
      <c r="BI201" s="227" t="s">
        <v>12</v>
      </c>
      <c r="BJ201" s="228"/>
      <c r="BK201" s="229" t="s">
        <v>11</v>
      </c>
      <c r="BM201" s="13">
        <v>3.5</v>
      </c>
      <c r="BN201" s="13">
        <v>27</v>
      </c>
      <c r="BO201" s="13">
        <v>400</v>
      </c>
      <c r="BP201" s="13">
        <v>1</v>
      </c>
      <c r="BQ201" s="14">
        <f t="shared" si="64"/>
        <v>3.78E-2</v>
      </c>
      <c r="BR201" s="13"/>
      <c r="BS201" s="14"/>
      <c r="BT201" s="13"/>
      <c r="BV201" s="4"/>
      <c r="BW201" s="4"/>
      <c r="BX201" s="30">
        <f>SUM(BX198:BX200)</f>
        <v>1100</v>
      </c>
      <c r="BY201" s="29">
        <f>SUM(BY198:BY200)</f>
        <v>37.758600000000001</v>
      </c>
      <c r="CE201" s="13">
        <v>3.5</v>
      </c>
      <c r="CF201" s="13">
        <v>25</v>
      </c>
      <c r="CG201" s="13">
        <v>400</v>
      </c>
      <c r="CH201" s="13">
        <v>1</v>
      </c>
      <c r="CI201" s="14">
        <f t="shared" si="72"/>
        <v>3.5000000000000003E-2</v>
      </c>
      <c r="CJ201" s="13"/>
      <c r="CK201" s="14"/>
      <c r="CL201" s="41"/>
      <c r="CN201" s="13">
        <v>7</v>
      </c>
      <c r="CO201" s="13">
        <v>20</v>
      </c>
      <c r="CP201" s="13">
        <v>400</v>
      </c>
      <c r="CQ201" s="13">
        <v>4</v>
      </c>
      <c r="CR201" s="14">
        <f t="shared" si="67"/>
        <v>0.224</v>
      </c>
      <c r="CS201" s="13"/>
      <c r="CT201" s="14"/>
      <c r="CU201" s="13"/>
      <c r="CW201" s="28" t="s">
        <v>18</v>
      </c>
      <c r="CX201" s="27" t="s">
        <v>121</v>
      </c>
      <c r="CY201" s="26"/>
      <c r="CZ201" s="26"/>
      <c r="DA201" s="26"/>
      <c r="DB201" s="26"/>
      <c r="DC201" s="236"/>
      <c r="DD201" s="236"/>
      <c r="DF201" s="13">
        <v>10</v>
      </c>
      <c r="DG201" s="13">
        <v>15</v>
      </c>
      <c r="DH201" s="61">
        <v>400</v>
      </c>
      <c r="DI201" s="13">
        <v>8</v>
      </c>
      <c r="DJ201" s="14">
        <f t="shared" si="68"/>
        <v>0.48</v>
      </c>
      <c r="DK201" s="13"/>
      <c r="DL201" s="14"/>
      <c r="DM201" s="13"/>
    </row>
    <row r="202" spans="2:117" ht="16.5" thickTop="1" x14ac:dyDescent="0.25">
      <c r="B202" s="24" t="s">
        <v>10</v>
      </c>
      <c r="C202" s="23" t="s">
        <v>9</v>
      </c>
      <c r="D202" s="23" t="s">
        <v>8</v>
      </c>
      <c r="E202" s="22" t="s">
        <v>7</v>
      </c>
      <c r="F202" s="21" t="s">
        <v>6</v>
      </c>
      <c r="G202" s="22" t="s">
        <v>7</v>
      </c>
      <c r="H202" s="21" t="s">
        <v>6</v>
      </c>
      <c r="I202" s="230"/>
      <c r="K202" s="13">
        <v>2</v>
      </c>
      <c r="L202" s="13">
        <v>10</v>
      </c>
      <c r="M202" s="13">
        <v>400</v>
      </c>
      <c r="N202" s="13">
        <v>52</v>
      </c>
      <c r="O202" s="14">
        <f t="shared" si="71"/>
        <v>0.41599999999999998</v>
      </c>
      <c r="P202" s="13">
        <f>SUM(N199:N202)</f>
        <v>68</v>
      </c>
      <c r="Q202" s="14">
        <f>SUM(O199:O202)</f>
        <v>0.68900000000000006</v>
      </c>
      <c r="R202" s="13"/>
      <c r="AC202" s="13">
        <v>3</v>
      </c>
      <c r="AD202" s="13">
        <v>15</v>
      </c>
      <c r="AE202" s="13">
        <v>400</v>
      </c>
      <c r="AF202" s="13">
        <v>22</v>
      </c>
      <c r="AG202" s="14">
        <f t="shared" si="70"/>
        <v>0.39600000000000002</v>
      </c>
      <c r="AH202" s="13">
        <f t="shared" ref="AH202:AI204" si="75">SUM(AF202)</f>
        <v>22</v>
      </c>
      <c r="AI202" s="14">
        <f t="shared" si="75"/>
        <v>0.39600000000000002</v>
      </c>
      <c r="AJ202" s="58" t="s">
        <v>21</v>
      </c>
      <c r="AL202" s="13">
        <v>7</v>
      </c>
      <c r="AM202" s="13">
        <v>12</v>
      </c>
      <c r="AN202" s="13">
        <v>300</v>
      </c>
      <c r="AO202" s="13">
        <v>1</v>
      </c>
      <c r="AP202" s="20">
        <f t="shared" si="69"/>
        <v>2.52E-2</v>
      </c>
      <c r="AQ202" s="37"/>
      <c r="AR202" s="38"/>
      <c r="AS202" s="13"/>
      <c r="AU202" s="13">
        <v>13</v>
      </c>
      <c r="AV202" s="13">
        <v>25</v>
      </c>
      <c r="AW202" s="13">
        <v>400</v>
      </c>
      <c r="AX202" s="13">
        <v>3</v>
      </c>
      <c r="AY202" s="14">
        <f t="shared" si="63"/>
        <v>0.39</v>
      </c>
      <c r="AZ202" s="13"/>
      <c r="BA202" s="14"/>
      <c r="BB202" s="13"/>
      <c r="BD202" s="24" t="s">
        <v>10</v>
      </c>
      <c r="BE202" s="23" t="s">
        <v>9</v>
      </c>
      <c r="BF202" s="23" t="s">
        <v>8</v>
      </c>
      <c r="BG202" s="22" t="s">
        <v>7</v>
      </c>
      <c r="BH202" s="21" t="s">
        <v>6</v>
      </c>
      <c r="BI202" s="22" t="s">
        <v>7</v>
      </c>
      <c r="BJ202" s="21" t="s">
        <v>6</v>
      </c>
      <c r="BK202" s="230"/>
      <c r="BM202" s="13">
        <v>10</v>
      </c>
      <c r="BN202" s="13">
        <v>33</v>
      </c>
      <c r="BO202" s="13">
        <v>400</v>
      </c>
      <c r="BP202" s="13">
        <v>1</v>
      </c>
      <c r="BQ202" s="14">
        <f t="shared" si="64"/>
        <v>0.13200000000000001</v>
      </c>
      <c r="BR202" s="13"/>
      <c r="BS202" s="14"/>
      <c r="BT202" s="13"/>
      <c r="BZ202" s="4" t="s">
        <v>118</v>
      </c>
      <c r="CA202" s="6">
        <f>SUM(BY124:BY126,)</f>
        <v>380</v>
      </c>
      <c r="CB202" s="5">
        <f>SUM(BZ124:BZ126,)</f>
        <v>3.3487999999999998</v>
      </c>
      <c r="CC202" s="4"/>
      <c r="CE202" s="13">
        <v>2.2000000000000002</v>
      </c>
      <c r="CF202" s="13">
        <v>20</v>
      </c>
      <c r="CG202" s="13">
        <v>400</v>
      </c>
      <c r="CH202" s="13">
        <v>6</v>
      </c>
      <c r="CI202" s="14">
        <f t="shared" si="72"/>
        <v>0.1056</v>
      </c>
      <c r="CJ202" s="13"/>
      <c r="CK202" s="14"/>
      <c r="CL202" s="41"/>
      <c r="CN202" s="13">
        <v>15</v>
      </c>
      <c r="CO202" s="13">
        <v>20</v>
      </c>
      <c r="CP202" s="13">
        <v>400</v>
      </c>
      <c r="CQ202" s="13">
        <v>4</v>
      </c>
      <c r="CR202" s="14">
        <f t="shared" si="67"/>
        <v>0.48</v>
      </c>
      <c r="CS202" s="13"/>
      <c r="CT202" s="14"/>
      <c r="CU202" s="13"/>
      <c r="CW202" s="28" t="s">
        <v>16</v>
      </c>
      <c r="CX202" s="27" t="s">
        <v>73</v>
      </c>
      <c r="CY202" s="26"/>
      <c r="CZ202" s="26"/>
      <c r="DA202" s="26"/>
      <c r="DB202" s="26"/>
      <c r="DC202" s="236"/>
      <c r="DD202" s="236"/>
      <c r="DF202" s="13">
        <v>7</v>
      </c>
      <c r="DG202" s="13">
        <v>15</v>
      </c>
      <c r="DH202" s="61">
        <v>400</v>
      </c>
      <c r="DI202" s="13">
        <v>7</v>
      </c>
      <c r="DJ202" s="14">
        <f t="shared" si="68"/>
        <v>0.29399999999999998</v>
      </c>
      <c r="DK202" s="13"/>
      <c r="DL202" s="14"/>
      <c r="DM202" s="13"/>
    </row>
    <row r="203" spans="2:117" ht="15.75" x14ac:dyDescent="0.25">
      <c r="B203" s="13">
        <v>15</v>
      </c>
      <c r="C203" s="13">
        <v>20</v>
      </c>
      <c r="D203" s="13">
        <v>400</v>
      </c>
      <c r="E203" s="13">
        <v>2</v>
      </c>
      <c r="F203" s="20">
        <f t="shared" ref="F203:F236" si="76">B203*C203*D203*E203/1000000</f>
        <v>0.24</v>
      </c>
      <c r="G203" s="13"/>
      <c r="H203" s="14"/>
      <c r="I203" s="13"/>
      <c r="K203" s="245" t="s">
        <v>53</v>
      </c>
      <c r="L203" s="246"/>
      <c r="M203" s="247"/>
      <c r="N203" s="45">
        <f>SUM(N188:N202)</f>
        <v>145</v>
      </c>
      <c r="O203" s="59">
        <f>SUM(O188:O202)</f>
        <v>6.0812000000000008</v>
      </c>
      <c r="P203" s="45">
        <f>SUM(P188:P202)</f>
        <v>145</v>
      </c>
      <c r="Q203" s="59">
        <f>SUM(Q188:Q202)</f>
        <v>6.0812000000000008</v>
      </c>
      <c r="R203" s="45"/>
      <c r="T203" s="231" t="s">
        <v>19</v>
      </c>
      <c r="U203" s="231"/>
      <c r="V203" s="231"/>
      <c r="W203" s="231"/>
      <c r="X203" s="231"/>
      <c r="Y203" s="231"/>
      <c r="Z203" s="231"/>
      <c r="AA203" s="231"/>
      <c r="AC203" s="13">
        <v>3</v>
      </c>
      <c r="AD203" s="13">
        <v>12.5</v>
      </c>
      <c r="AE203" s="13">
        <v>400</v>
      </c>
      <c r="AF203" s="13">
        <v>3</v>
      </c>
      <c r="AG203" s="14">
        <f t="shared" si="70"/>
        <v>4.4999999999999998E-2</v>
      </c>
      <c r="AH203" s="13">
        <f t="shared" si="75"/>
        <v>3</v>
      </c>
      <c r="AI203" s="14">
        <f t="shared" si="75"/>
        <v>4.4999999999999998E-2</v>
      </c>
      <c r="AJ203" s="58" t="s">
        <v>21</v>
      </c>
      <c r="AL203" s="13">
        <v>3</v>
      </c>
      <c r="AM203" s="13">
        <v>15</v>
      </c>
      <c r="AN203" s="13">
        <v>300</v>
      </c>
      <c r="AO203" s="13">
        <v>1</v>
      </c>
      <c r="AP203" s="20">
        <f t="shared" si="69"/>
        <v>1.35E-2</v>
      </c>
      <c r="AQ203" s="37">
        <f>SUM(AO178:AO203)</f>
        <v>223</v>
      </c>
      <c r="AR203" s="38">
        <f>SUM(AP178:AP203)</f>
        <v>3.7141000000000006</v>
      </c>
      <c r="AS203" s="41" t="s">
        <v>21</v>
      </c>
      <c r="AU203" s="13">
        <v>10</v>
      </c>
      <c r="AV203" s="13">
        <v>25</v>
      </c>
      <c r="AW203" s="13">
        <v>400</v>
      </c>
      <c r="AX203" s="13">
        <v>4</v>
      </c>
      <c r="AY203" s="14">
        <f t="shared" si="63"/>
        <v>0.4</v>
      </c>
      <c r="AZ203" s="13"/>
      <c r="BA203" s="14"/>
      <c r="BB203" s="13"/>
      <c r="BD203" s="13">
        <v>10</v>
      </c>
      <c r="BE203" s="13">
        <v>32</v>
      </c>
      <c r="BF203" s="13">
        <v>400</v>
      </c>
      <c r="BG203" s="13">
        <v>1</v>
      </c>
      <c r="BH203" s="14">
        <f t="shared" ref="BH203:BH243" si="77">BD203*BE203*BF203*BG203/1000000</f>
        <v>0.128</v>
      </c>
      <c r="BI203" s="13"/>
      <c r="BJ203" s="14"/>
      <c r="BK203" s="13"/>
      <c r="BM203" s="13">
        <v>2.2000000000000002</v>
      </c>
      <c r="BN203" s="13">
        <v>33</v>
      </c>
      <c r="BO203" s="13">
        <v>400</v>
      </c>
      <c r="BP203" s="13">
        <v>1</v>
      </c>
      <c r="BQ203" s="14">
        <f t="shared" si="64"/>
        <v>2.9040000000000003E-2</v>
      </c>
      <c r="BR203" s="13"/>
      <c r="BS203" s="14"/>
      <c r="BT203" s="13"/>
      <c r="BV203" s="4"/>
      <c r="BW203" s="4"/>
      <c r="BX203" s="4"/>
      <c r="BY203" s="4"/>
      <c r="BZ203" s="4" t="s">
        <v>119</v>
      </c>
      <c r="CA203" s="6">
        <f>SUM(CA194,BY85:BY123,BY24:BY75)</f>
        <v>621</v>
      </c>
      <c r="CB203" s="5">
        <f>SUM(CB194,BZ85:BZ123,BZ24:BZ75)</f>
        <v>32.455999999999982</v>
      </c>
      <c r="CC203" s="4"/>
      <c r="CE203" s="13">
        <v>4.5</v>
      </c>
      <c r="CF203" s="13">
        <v>20</v>
      </c>
      <c r="CG203" s="13">
        <v>400</v>
      </c>
      <c r="CH203" s="13">
        <v>7</v>
      </c>
      <c r="CI203" s="14">
        <f t="shared" si="72"/>
        <v>0.252</v>
      </c>
      <c r="CJ203" s="13"/>
      <c r="CK203" s="14"/>
      <c r="CL203" s="41"/>
      <c r="CN203" s="13">
        <v>10</v>
      </c>
      <c r="CO203" s="13">
        <v>20</v>
      </c>
      <c r="CP203" s="13">
        <v>400</v>
      </c>
      <c r="CQ203" s="13">
        <v>8</v>
      </c>
      <c r="CR203" s="14">
        <f t="shared" si="67"/>
        <v>0.64</v>
      </c>
      <c r="CS203" s="13"/>
      <c r="CT203" s="14"/>
      <c r="CU203" s="13"/>
      <c r="CW203" s="43"/>
      <c r="CX203" s="25"/>
      <c r="CY203" s="25"/>
      <c r="CZ203" s="25"/>
      <c r="DA203" s="25"/>
      <c r="DB203" s="225" t="s">
        <v>181</v>
      </c>
      <c r="DC203" s="225"/>
      <c r="DD203" s="225"/>
      <c r="DF203" s="13">
        <v>4.5</v>
      </c>
      <c r="DG203" s="13">
        <v>15</v>
      </c>
      <c r="DH203" s="61">
        <v>400</v>
      </c>
      <c r="DI203" s="13">
        <v>19</v>
      </c>
      <c r="DJ203" s="14">
        <f t="shared" si="68"/>
        <v>0.51300000000000001</v>
      </c>
      <c r="DK203" s="13"/>
      <c r="DL203" s="14"/>
      <c r="DM203" s="13"/>
    </row>
    <row r="204" spans="2:117" ht="15.75" x14ac:dyDescent="0.25">
      <c r="B204" s="13">
        <v>15</v>
      </c>
      <c r="C204" s="13">
        <v>18</v>
      </c>
      <c r="D204" s="13">
        <v>400</v>
      </c>
      <c r="E204" s="13">
        <v>1</v>
      </c>
      <c r="F204" s="20">
        <f t="shared" si="76"/>
        <v>0.108</v>
      </c>
      <c r="G204" s="13"/>
      <c r="H204" s="14"/>
      <c r="I204" s="13"/>
      <c r="K204" s="122">
        <v>3</v>
      </c>
      <c r="L204" s="122">
        <v>5</v>
      </c>
      <c r="M204" s="122">
        <v>400</v>
      </c>
      <c r="N204" s="122">
        <v>380</v>
      </c>
      <c r="O204" s="123">
        <f>K204*L204*M204*N204/1000000</f>
        <v>2.2799999999999998</v>
      </c>
      <c r="P204" s="122"/>
      <c r="Q204" s="123"/>
      <c r="R204" s="154" t="s">
        <v>68</v>
      </c>
      <c r="T204" s="231"/>
      <c r="U204" s="231"/>
      <c r="V204" s="231"/>
      <c r="W204" s="231"/>
      <c r="X204" s="231"/>
      <c r="Y204" s="231"/>
      <c r="Z204" s="231"/>
      <c r="AA204" s="231"/>
      <c r="AC204" s="13">
        <v>2</v>
      </c>
      <c r="AD204" s="13">
        <v>15</v>
      </c>
      <c r="AE204" s="13">
        <v>400</v>
      </c>
      <c r="AF204" s="13">
        <v>3</v>
      </c>
      <c r="AG204" s="14">
        <f t="shared" si="70"/>
        <v>3.5999999999999997E-2</v>
      </c>
      <c r="AH204" s="13">
        <f t="shared" si="75"/>
        <v>3</v>
      </c>
      <c r="AI204" s="14">
        <f t="shared" si="75"/>
        <v>3.5999999999999997E-2</v>
      </c>
      <c r="AJ204" s="58" t="s">
        <v>21</v>
      </c>
      <c r="AL204" s="13">
        <v>15</v>
      </c>
      <c r="AM204" s="13">
        <v>33</v>
      </c>
      <c r="AN204" s="13">
        <v>400</v>
      </c>
      <c r="AO204" s="13">
        <v>1</v>
      </c>
      <c r="AP204" s="14">
        <f t="shared" si="69"/>
        <v>0.19800000000000001</v>
      </c>
      <c r="AQ204" s="37"/>
      <c r="AR204" s="36"/>
      <c r="AS204" s="13"/>
      <c r="AU204" s="13">
        <v>4.5</v>
      </c>
      <c r="AV204" s="13">
        <v>20</v>
      </c>
      <c r="AW204" s="13">
        <v>400</v>
      </c>
      <c r="AX204" s="13">
        <v>3</v>
      </c>
      <c r="AY204" s="14">
        <f t="shared" si="63"/>
        <v>0.108</v>
      </c>
      <c r="AZ204" s="13"/>
      <c r="BA204" s="14"/>
      <c r="BB204" s="13"/>
      <c r="BD204" s="13">
        <v>2.2000000000000002</v>
      </c>
      <c r="BE204" s="13">
        <v>32</v>
      </c>
      <c r="BF204" s="13">
        <v>400</v>
      </c>
      <c r="BG204" s="13">
        <v>1</v>
      </c>
      <c r="BH204" s="14">
        <f t="shared" si="77"/>
        <v>2.8160000000000004E-2</v>
      </c>
      <c r="BI204" s="13"/>
      <c r="BJ204" s="14"/>
      <c r="BK204" s="13"/>
      <c r="BM204" s="13">
        <v>15</v>
      </c>
      <c r="BN204" s="13">
        <v>33</v>
      </c>
      <c r="BO204" s="13">
        <v>400</v>
      </c>
      <c r="BP204" s="13">
        <v>1</v>
      </c>
      <c r="BQ204" s="14">
        <f t="shared" si="64"/>
        <v>0.19800000000000001</v>
      </c>
      <c r="BR204" s="13"/>
      <c r="BS204" s="14"/>
      <c r="BT204" s="13"/>
      <c r="BV204" s="4"/>
      <c r="BW204" s="4"/>
      <c r="BX204" s="4"/>
      <c r="BY204" s="4"/>
      <c r="BZ204" s="4" t="s">
        <v>148</v>
      </c>
      <c r="CA204" s="6">
        <f>SUM(BY136:BY143,BY8:BY18,BY21:BY23)</f>
        <v>32</v>
      </c>
      <c r="CB204" s="5">
        <f>SUM(BZ136:BZ143,BZ8:BZ18,BZ21:BZ23)</f>
        <v>1.5449999999999999</v>
      </c>
      <c r="CC204" s="4"/>
      <c r="CE204" s="13">
        <v>13</v>
      </c>
      <c r="CF204" s="13">
        <v>20</v>
      </c>
      <c r="CG204" s="13">
        <v>400</v>
      </c>
      <c r="CH204" s="13">
        <v>2</v>
      </c>
      <c r="CI204" s="14">
        <f t="shared" si="72"/>
        <v>0.20799999999999999</v>
      </c>
      <c r="CJ204" s="13"/>
      <c r="CK204" s="14"/>
      <c r="CL204" s="41"/>
      <c r="CN204" s="13">
        <v>13</v>
      </c>
      <c r="CO204" s="13">
        <v>20</v>
      </c>
      <c r="CP204" s="13">
        <v>400</v>
      </c>
      <c r="CQ204" s="13">
        <v>2</v>
      </c>
      <c r="CR204" s="14">
        <f t="shared" si="67"/>
        <v>0.20799999999999999</v>
      </c>
      <c r="CS204" s="13"/>
      <c r="CT204" s="14"/>
      <c r="CU204" s="13"/>
      <c r="CW204" s="226" t="s">
        <v>13</v>
      </c>
      <c r="CX204" s="227"/>
      <c r="CY204" s="228"/>
      <c r="CZ204" s="227" t="s">
        <v>12</v>
      </c>
      <c r="DA204" s="228"/>
      <c r="DB204" s="227" t="s">
        <v>12</v>
      </c>
      <c r="DC204" s="228"/>
      <c r="DD204" s="229" t="s">
        <v>11</v>
      </c>
      <c r="DF204" s="61">
        <v>3.5</v>
      </c>
      <c r="DG204" s="61">
        <v>15</v>
      </c>
      <c r="DH204" s="61">
        <v>400</v>
      </c>
      <c r="DI204" s="13">
        <v>8</v>
      </c>
      <c r="DJ204" s="14">
        <f t="shared" si="68"/>
        <v>0.16800000000000001</v>
      </c>
      <c r="DK204" s="13"/>
      <c r="DL204" s="14"/>
      <c r="DM204" s="13"/>
    </row>
    <row r="205" spans="2:117" ht="15.75" x14ac:dyDescent="0.25">
      <c r="B205" s="13">
        <v>15</v>
      </c>
      <c r="C205" s="13">
        <v>15</v>
      </c>
      <c r="D205" s="13">
        <v>400</v>
      </c>
      <c r="E205" s="13">
        <v>4</v>
      </c>
      <c r="F205" s="20">
        <f t="shared" si="76"/>
        <v>0.36</v>
      </c>
      <c r="G205" s="13">
        <f>SUM(E203:E205)</f>
        <v>7</v>
      </c>
      <c r="H205" s="14">
        <f>SUM(F203:F205)</f>
        <v>0.70799999999999996</v>
      </c>
      <c r="I205" s="13"/>
      <c r="K205" s="122">
        <v>2</v>
      </c>
      <c r="L205" s="122">
        <v>3</v>
      </c>
      <c r="M205" s="122">
        <v>400</v>
      </c>
      <c r="N205" s="130">
        <v>1150</v>
      </c>
      <c r="O205" s="131">
        <f>K205*L205*M205*N205/1000000</f>
        <v>2.76</v>
      </c>
      <c r="P205" s="130">
        <f>SUM(N204:N205)</f>
        <v>1530</v>
      </c>
      <c r="Q205" s="131">
        <f>SUM(O204:O205)</f>
        <v>5.0399999999999991</v>
      </c>
      <c r="R205" s="155" t="s">
        <v>68</v>
      </c>
      <c r="T205" s="28" t="s">
        <v>18</v>
      </c>
      <c r="U205" s="27" t="s">
        <v>34</v>
      </c>
      <c r="V205" s="26"/>
      <c r="W205" s="26"/>
      <c r="X205" s="26"/>
      <c r="Y205" s="26"/>
      <c r="Z205" s="26"/>
      <c r="AA205" s="26"/>
      <c r="AC205" s="13">
        <v>2</v>
      </c>
      <c r="AD205" s="13">
        <v>10</v>
      </c>
      <c r="AE205" s="13">
        <v>400</v>
      </c>
      <c r="AF205" s="13">
        <v>33</v>
      </c>
      <c r="AG205" s="14">
        <f t="shared" si="70"/>
        <v>0.26400000000000001</v>
      </c>
      <c r="AH205" s="13"/>
      <c r="AI205" s="14"/>
      <c r="AJ205" s="58" t="s">
        <v>21</v>
      </c>
      <c r="AL205" s="13">
        <v>13</v>
      </c>
      <c r="AM205" s="13">
        <v>30</v>
      </c>
      <c r="AN205" s="13">
        <v>400</v>
      </c>
      <c r="AO205" s="13">
        <v>3</v>
      </c>
      <c r="AP205" s="14">
        <f t="shared" si="69"/>
        <v>0.46800000000000003</v>
      </c>
      <c r="AQ205" s="37"/>
      <c r="AR205" s="36"/>
      <c r="AS205" s="13"/>
      <c r="AU205" s="13">
        <v>10</v>
      </c>
      <c r="AV205" s="13">
        <v>20</v>
      </c>
      <c r="AW205" s="13">
        <v>400</v>
      </c>
      <c r="AX205" s="13">
        <v>5</v>
      </c>
      <c r="AY205" s="14">
        <f t="shared" si="63"/>
        <v>0.4</v>
      </c>
      <c r="AZ205" s="13"/>
      <c r="BA205" s="14"/>
      <c r="BB205" s="13"/>
      <c r="BD205" s="13">
        <v>10</v>
      </c>
      <c r="BE205" s="13">
        <v>25</v>
      </c>
      <c r="BF205" s="13">
        <v>400</v>
      </c>
      <c r="BG205" s="13">
        <v>5</v>
      </c>
      <c r="BH205" s="14">
        <f t="shared" si="77"/>
        <v>0.5</v>
      </c>
      <c r="BI205" s="13"/>
      <c r="BJ205" s="14"/>
      <c r="BK205" s="13"/>
      <c r="BM205" s="13">
        <v>8</v>
      </c>
      <c r="BN205" s="13">
        <v>10</v>
      </c>
      <c r="BO205" s="13">
        <v>400</v>
      </c>
      <c r="BP205" s="13">
        <v>1</v>
      </c>
      <c r="BQ205" s="14">
        <f t="shared" si="64"/>
        <v>3.2000000000000001E-2</v>
      </c>
      <c r="BR205" s="37">
        <f>SUM(BP160:BP205)</f>
        <v>566</v>
      </c>
      <c r="BS205" s="107">
        <f>SUM(BQ160:BQ205)</f>
        <v>13.37984</v>
      </c>
      <c r="BT205" s="41" t="s">
        <v>23</v>
      </c>
      <c r="BV205" s="4"/>
      <c r="BW205" s="4"/>
      <c r="BX205" s="4"/>
      <c r="BY205" s="4"/>
      <c r="BZ205" s="4" t="s">
        <v>149</v>
      </c>
      <c r="CA205" s="6">
        <f>SUM(BY144:BY146,BY19:BY20)</f>
        <v>67</v>
      </c>
      <c r="CB205" s="5">
        <f>SUM(BZ144:BZ146,BZ19:BZ20)</f>
        <v>0.40879999999999994</v>
      </c>
      <c r="CC205" s="4"/>
      <c r="CE205" s="13">
        <v>10</v>
      </c>
      <c r="CF205" s="13">
        <v>20</v>
      </c>
      <c r="CG205" s="13">
        <v>400</v>
      </c>
      <c r="CH205" s="13">
        <v>8</v>
      </c>
      <c r="CI205" s="14">
        <f t="shared" si="72"/>
        <v>0.64</v>
      </c>
      <c r="CJ205" s="13"/>
      <c r="CK205" s="14"/>
      <c r="CL205" s="41"/>
      <c r="CN205" s="13">
        <v>3.5</v>
      </c>
      <c r="CO205" s="13">
        <v>20</v>
      </c>
      <c r="CP205" s="13">
        <v>400</v>
      </c>
      <c r="CQ205" s="13">
        <v>2</v>
      </c>
      <c r="CR205" s="14">
        <f t="shared" si="67"/>
        <v>5.6000000000000001E-2</v>
      </c>
      <c r="CS205" s="13"/>
      <c r="CT205" s="14"/>
      <c r="CU205" s="13"/>
      <c r="CW205" s="24" t="s">
        <v>10</v>
      </c>
      <c r="CX205" s="23" t="s">
        <v>9</v>
      </c>
      <c r="CY205" s="23" t="s">
        <v>8</v>
      </c>
      <c r="CZ205" s="22" t="s">
        <v>7</v>
      </c>
      <c r="DA205" s="21" t="s">
        <v>6</v>
      </c>
      <c r="DB205" s="22" t="s">
        <v>7</v>
      </c>
      <c r="DC205" s="21" t="s">
        <v>6</v>
      </c>
      <c r="DD205" s="230"/>
      <c r="DF205" s="13">
        <v>2.2000000000000002</v>
      </c>
      <c r="DG205" s="13">
        <v>15</v>
      </c>
      <c r="DH205" s="61">
        <v>400</v>
      </c>
      <c r="DI205" s="13">
        <v>9</v>
      </c>
      <c r="DJ205" s="14">
        <f t="shared" si="68"/>
        <v>0.1188</v>
      </c>
      <c r="DK205" s="13"/>
      <c r="DL205" s="14"/>
      <c r="DM205" s="13"/>
    </row>
    <row r="206" spans="2:117" ht="16.5" thickBot="1" x14ac:dyDescent="0.3">
      <c r="B206" s="13">
        <v>13</v>
      </c>
      <c r="C206" s="13">
        <v>15</v>
      </c>
      <c r="D206" s="13">
        <v>400</v>
      </c>
      <c r="E206" s="13">
        <v>2</v>
      </c>
      <c r="F206" s="20">
        <f t="shared" si="76"/>
        <v>0.156</v>
      </c>
      <c r="G206" s="13">
        <f>SUM(E206)</f>
        <v>2</v>
      </c>
      <c r="H206" s="14">
        <f>SUM(F206)</f>
        <v>0.156</v>
      </c>
      <c r="I206" s="13"/>
      <c r="K206" s="245" t="s">
        <v>52</v>
      </c>
      <c r="L206" s="246"/>
      <c r="M206" s="247"/>
      <c r="N206" s="45">
        <f>SUM(N204:N205)</f>
        <v>1530</v>
      </c>
      <c r="O206" s="38">
        <f>SUM(O204:O205)</f>
        <v>5.0399999999999991</v>
      </c>
      <c r="P206" s="45">
        <f>SUM(P204:P205)</f>
        <v>1530</v>
      </c>
      <c r="Q206" s="38">
        <f>SUM(Q204:Q205)</f>
        <v>5.0399999999999991</v>
      </c>
      <c r="R206" s="45"/>
      <c r="T206" s="28" t="s">
        <v>16</v>
      </c>
      <c r="U206" s="27" t="s">
        <v>33</v>
      </c>
      <c r="V206" s="26"/>
      <c r="W206" s="26"/>
      <c r="X206" s="26"/>
      <c r="Y206" s="26"/>
      <c r="Z206" s="26"/>
      <c r="AA206" s="26"/>
      <c r="AC206" s="13">
        <v>2</v>
      </c>
      <c r="AD206" s="13">
        <v>10</v>
      </c>
      <c r="AE206" s="13">
        <v>300</v>
      </c>
      <c r="AF206" s="13">
        <v>16</v>
      </c>
      <c r="AG206" s="14">
        <f t="shared" si="70"/>
        <v>9.6000000000000002E-2</v>
      </c>
      <c r="AH206" s="13">
        <f>SUM(AF205:AF206)</f>
        <v>49</v>
      </c>
      <c r="AI206" s="14">
        <f>SUM(AG205:AG206)</f>
        <v>0.36</v>
      </c>
      <c r="AJ206" s="58" t="s">
        <v>21</v>
      </c>
      <c r="AL206" s="13">
        <v>13</v>
      </c>
      <c r="AM206" s="13">
        <v>28</v>
      </c>
      <c r="AN206" s="13">
        <v>400</v>
      </c>
      <c r="AO206" s="13">
        <v>1</v>
      </c>
      <c r="AP206" s="14">
        <f t="shared" si="69"/>
        <v>0.14560000000000001</v>
      </c>
      <c r="AQ206" s="37"/>
      <c r="AR206" s="36"/>
      <c r="AS206" s="13"/>
      <c r="AU206" s="13">
        <v>15</v>
      </c>
      <c r="AV206" s="13">
        <v>20</v>
      </c>
      <c r="AW206" s="13">
        <v>400</v>
      </c>
      <c r="AX206" s="13">
        <v>2</v>
      </c>
      <c r="AY206" s="14">
        <f t="shared" si="63"/>
        <v>0.24</v>
      </c>
      <c r="AZ206" s="13"/>
      <c r="BA206" s="14"/>
      <c r="BB206" s="13"/>
      <c r="BD206" s="13">
        <v>2.2000000000000002</v>
      </c>
      <c r="BE206" s="13">
        <v>25</v>
      </c>
      <c r="BF206" s="13">
        <v>400</v>
      </c>
      <c r="BG206" s="13">
        <v>1</v>
      </c>
      <c r="BH206" s="14">
        <f t="shared" si="77"/>
        <v>2.2000000000000002E-2</v>
      </c>
      <c r="BI206" s="13"/>
      <c r="BJ206" s="14"/>
      <c r="BK206" s="13"/>
      <c r="BM206" s="237"/>
      <c r="BN206" s="237"/>
      <c r="BO206" s="238"/>
      <c r="BP206" s="98">
        <f>SUM(BP149:BP205)</f>
        <v>629</v>
      </c>
      <c r="BQ206" s="48">
        <f>SUM(BQ149:BQ205)</f>
        <v>13.932639999999999</v>
      </c>
      <c r="BR206" s="98">
        <f>SUM(BR149:BR205)</f>
        <v>629</v>
      </c>
      <c r="BS206" s="48">
        <f>SUM(BS149:BS205)</f>
        <v>13.932639999999999</v>
      </c>
      <c r="BT206" s="104"/>
      <c r="BV206" s="4"/>
      <c r="BW206" s="4"/>
      <c r="BX206" s="4"/>
      <c r="BY206" s="4"/>
      <c r="BZ206" s="4"/>
      <c r="CA206" s="3">
        <f>SUM(CA202:CA205)</f>
        <v>1100</v>
      </c>
      <c r="CB206" s="53">
        <f>SUM(CB202:CB205)</f>
        <v>37.75859999999998</v>
      </c>
      <c r="CC206" s="4"/>
      <c r="CE206" s="13">
        <v>7</v>
      </c>
      <c r="CF206" s="13">
        <v>20</v>
      </c>
      <c r="CG206" s="13">
        <v>400</v>
      </c>
      <c r="CH206" s="13">
        <v>4</v>
      </c>
      <c r="CI206" s="14">
        <f t="shared" si="72"/>
        <v>0.224</v>
      </c>
      <c r="CJ206" s="13"/>
      <c r="CK206" s="14"/>
      <c r="CL206" s="41"/>
      <c r="CN206" s="13">
        <v>4.5</v>
      </c>
      <c r="CO206" s="13">
        <v>20</v>
      </c>
      <c r="CP206" s="13">
        <v>400</v>
      </c>
      <c r="CQ206" s="13">
        <v>10</v>
      </c>
      <c r="CR206" s="14">
        <f t="shared" si="67"/>
        <v>0.36</v>
      </c>
      <c r="CS206" s="13"/>
      <c r="CT206" s="14"/>
      <c r="CU206" s="13"/>
      <c r="CW206" s="13">
        <v>10</v>
      </c>
      <c r="CX206" s="13">
        <v>20</v>
      </c>
      <c r="CY206" s="13">
        <v>400</v>
      </c>
      <c r="CZ206" s="13">
        <v>20</v>
      </c>
      <c r="DA206" s="14">
        <f t="shared" ref="DA206:DA241" si="78">CW206*CX206*CY206*CZ206/1000000</f>
        <v>1.6</v>
      </c>
      <c r="DB206" s="13"/>
      <c r="DC206" s="14"/>
      <c r="DD206" s="13"/>
      <c r="DF206" s="13">
        <v>10</v>
      </c>
      <c r="DG206" s="13">
        <v>13</v>
      </c>
      <c r="DH206" s="61">
        <v>400</v>
      </c>
      <c r="DI206" s="13">
        <v>6</v>
      </c>
      <c r="DJ206" s="14">
        <f t="shared" si="68"/>
        <v>0.312</v>
      </c>
      <c r="DK206" s="13"/>
      <c r="DL206" s="14"/>
      <c r="DM206" s="13"/>
    </row>
    <row r="207" spans="2:117" ht="17.25" thickTop="1" thickBot="1" x14ac:dyDescent="0.3">
      <c r="B207" s="13">
        <v>10</v>
      </c>
      <c r="C207" s="13">
        <v>20</v>
      </c>
      <c r="D207" s="13">
        <v>400</v>
      </c>
      <c r="E207" s="13">
        <v>4</v>
      </c>
      <c r="F207" s="20">
        <f t="shared" si="76"/>
        <v>0.32</v>
      </c>
      <c r="G207" s="13"/>
      <c r="H207" s="14"/>
      <c r="I207" s="13"/>
      <c r="K207" s="237" t="s">
        <v>67</v>
      </c>
      <c r="L207" s="237"/>
      <c r="M207" s="238"/>
      <c r="N207" s="17">
        <f>SUM(N206,N203)</f>
        <v>1675</v>
      </c>
      <c r="O207" s="44">
        <f>SUM(O206,O203)</f>
        <v>11.1212</v>
      </c>
      <c r="P207" s="17">
        <f>SUM(P206,P203)</f>
        <v>1675</v>
      </c>
      <c r="Q207" s="44">
        <f>SUM(Q206,Q203)</f>
        <v>11.1212</v>
      </c>
      <c r="R207" s="17"/>
      <c r="T207" s="25"/>
      <c r="U207" s="25"/>
      <c r="V207" s="25"/>
      <c r="W207" s="25"/>
      <c r="X207" s="25"/>
      <c r="Y207" s="225" t="s">
        <v>60</v>
      </c>
      <c r="Z207" s="225"/>
      <c r="AA207" s="225"/>
      <c r="AC207" s="57">
        <v>2</v>
      </c>
      <c r="AD207" s="57">
        <v>3</v>
      </c>
      <c r="AE207" s="57">
        <v>400</v>
      </c>
      <c r="AF207" s="57">
        <v>25</v>
      </c>
      <c r="AG207" s="56">
        <f t="shared" si="70"/>
        <v>0.06</v>
      </c>
      <c r="AH207" s="57">
        <f t="shared" ref="AH207:AI209" si="79">SUM(AF207)</f>
        <v>25</v>
      </c>
      <c r="AI207" s="56">
        <f t="shared" si="79"/>
        <v>0.06</v>
      </c>
      <c r="AJ207" s="55" t="s">
        <v>21</v>
      </c>
      <c r="AL207" s="13">
        <v>7</v>
      </c>
      <c r="AM207" s="13">
        <v>30</v>
      </c>
      <c r="AN207" s="13">
        <v>400</v>
      </c>
      <c r="AO207" s="13">
        <v>2</v>
      </c>
      <c r="AP207" s="14">
        <f t="shared" si="69"/>
        <v>0.16800000000000001</v>
      </c>
      <c r="AQ207" s="37"/>
      <c r="AR207" s="36"/>
      <c r="AS207" s="13"/>
      <c r="AU207" s="13">
        <v>13</v>
      </c>
      <c r="AV207" s="13">
        <v>20</v>
      </c>
      <c r="AW207" s="13">
        <v>400</v>
      </c>
      <c r="AX207" s="13">
        <v>1</v>
      </c>
      <c r="AY207" s="14">
        <f t="shared" si="63"/>
        <v>0.104</v>
      </c>
      <c r="AZ207" s="13"/>
      <c r="BA207" s="14"/>
      <c r="BB207" s="13"/>
      <c r="BD207" s="13">
        <v>13</v>
      </c>
      <c r="BE207" s="13">
        <v>25</v>
      </c>
      <c r="BF207" s="13">
        <v>400</v>
      </c>
      <c r="BG207" s="13">
        <v>4</v>
      </c>
      <c r="BH207" s="14">
        <f t="shared" si="77"/>
        <v>0.52</v>
      </c>
      <c r="BI207" s="13"/>
      <c r="BJ207" s="14"/>
      <c r="BK207" s="13"/>
      <c r="BM207" s="135"/>
      <c r="BN207" s="135"/>
      <c r="BO207" s="135"/>
      <c r="BP207" s="136"/>
      <c r="BQ207" s="137"/>
      <c r="BR207" s="136"/>
      <c r="BS207" s="137"/>
      <c r="BT207" s="138"/>
      <c r="BV207" s="4"/>
      <c r="BW207" s="4"/>
      <c r="BX207" s="4"/>
      <c r="BY207" s="4"/>
      <c r="BZ207" s="4"/>
      <c r="CA207" s="4"/>
      <c r="CB207" s="4"/>
      <c r="CC207" s="4"/>
      <c r="CE207" s="13">
        <v>3.5</v>
      </c>
      <c r="CF207" s="13">
        <v>20</v>
      </c>
      <c r="CG207" s="13">
        <v>400</v>
      </c>
      <c r="CH207" s="13">
        <v>2</v>
      </c>
      <c r="CI207" s="14">
        <f t="shared" si="72"/>
        <v>5.6000000000000001E-2</v>
      </c>
      <c r="CJ207" s="13"/>
      <c r="CK207" s="14"/>
      <c r="CL207" s="41"/>
      <c r="CN207" s="13">
        <v>8</v>
      </c>
      <c r="CO207" s="13">
        <v>20</v>
      </c>
      <c r="CP207" s="13">
        <v>400</v>
      </c>
      <c r="CQ207" s="13">
        <v>2</v>
      </c>
      <c r="CR207" s="14">
        <f t="shared" si="67"/>
        <v>0.128</v>
      </c>
      <c r="CS207" s="13"/>
      <c r="CT207" s="14"/>
      <c r="CU207" s="13"/>
      <c r="CW207" s="13">
        <v>2.2000000000000002</v>
      </c>
      <c r="CX207" s="13">
        <v>20</v>
      </c>
      <c r="CY207" s="13">
        <v>400</v>
      </c>
      <c r="CZ207" s="13">
        <v>8</v>
      </c>
      <c r="DA207" s="14">
        <f t="shared" si="78"/>
        <v>0.14080000000000001</v>
      </c>
      <c r="DB207" s="13"/>
      <c r="DC207" s="14"/>
      <c r="DD207" s="13"/>
      <c r="DF207" s="13">
        <v>7</v>
      </c>
      <c r="DG207" s="13">
        <v>13</v>
      </c>
      <c r="DH207" s="61">
        <v>400</v>
      </c>
      <c r="DI207" s="13">
        <v>1</v>
      </c>
      <c r="DJ207" s="14">
        <f t="shared" si="68"/>
        <v>3.6400000000000002E-2</v>
      </c>
      <c r="DK207" s="13"/>
      <c r="DL207" s="14"/>
      <c r="DM207" s="13"/>
    </row>
    <row r="208" spans="2:117" ht="16.5" thickTop="1" x14ac:dyDescent="0.25">
      <c r="B208" s="13">
        <v>10</v>
      </c>
      <c r="C208" s="13">
        <v>18</v>
      </c>
      <c r="D208" s="13">
        <v>400</v>
      </c>
      <c r="E208" s="13">
        <v>1</v>
      </c>
      <c r="F208" s="20">
        <f t="shared" si="76"/>
        <v>7.1999999999999995E-2</v>
      </c>
      <c r="G208" s="13"/>
      <c r="H208" s="14"/>
      <c r="I208" s="13"/>
      <c r="T208" s="226" t="s">
        <v>13</v>
      </c>
      <c r="U208" s="227"/>
      <c r="V208" s="228"/>
      <c r="W208" s="227" t="s">
        <v>12</v>
      </c>
      <c r="X208" s="228"/>
      <c r="Y208" s="227" t="s">
        <v>12</v>
      </c>
      <c r="Z208" s="228"/>
      <c r="AA208" s="229" t="s">
        <v>11</v>
      </c>
      <c r="AC208" s="13">
        <v>1.7</v>
      </c>
      <c r="AD208" s="13">
        <v>10</v>
      </c>
      <c r="AE208" s="13">
        <v>400</v>
      </c>
      <c r="AF208" s="13">
        <v>7</v>
      </c>
      <c r="AG208" s="14">
        <f t="shared" si="70"/>
        <v>4.7600000000000003E-2</v>
      </c>
      <c r="AH208" s="13">
        <f t="shared" si="79"/>
        <v>7</v>
      </c>
      <c r="AI208" s="14">
        <f t="shared" si="79"/>
        <v>4.7600000000000003E-2</v>
      </c>
      <c r="AJ208" s="58" t="s">
        <v>21</v>
      </c>
      <c r="AL208" s="13">
        <v>7</v>
      </c>
      <c r="AM208" s="13">
        <v>28</v>
      </c>
      <c r="AN208" s="13">
        <v>400</v>
      </c>
      <c r="AO208" s="13">
        <v>1</v>
      </c>
      <c r="AP208" s="14">
        <f t="shared" si="69"/>
        <v>7.8399999999999997E-2</v>
      </c>
      <c r="AQ208" s="37"/>
      <c r="AR208" s="36"/>
      <c r="AS208" s="13"/>
      <c r="AU208" s="13">
        <v>2.2000000000000002</v>
      </c>
      <c r="AV208" s="13">
        <v>20</v>
      </c>
      <c r="AW208" s="13">
        <v>400</v>
      </c>
      <c r="AX208" s="13">
        <v>1</v>
      </c>
      <c r="AY208" s="14">
        <f t="shared" si="63"/>
        <v>1.7600000000000001E-2</v>
      </c>
      <c r="AZ208" s="37"/>
      <c r="BA208" s="42"/>
      <c r="BB208" s="41"/>
      <c r="BD208" s="13">
        <v>13</v>
      </c>
      <c r="BE208" s="13">
        <v>23</v>
      </c>
      <c r="BF208" s="13">
        <v>400</v>
      </c>
      <c r="BG208" s="13">
        <v>1</v>
      </c>
      <c r="BH208" s="14">
        <f t="shared" si="77"/>
        <v>0.1196</v>
      </c>
      <c r="BI208" s="13"/>
      <c r="BJ208" s="14"/>
      <c r="BK208" s="41"/>
      <c r="BM208" s="8" t="s">
        <v>117</v>
      </c>
      <c r="CE208" s="13">
        <v>15</v>
      </c>
      <c r="CF208" s="13">
        <v>20</v>
      </c>
      <c r="CG208" s="13">
        <v>400</v>
      </c>
      <c r="CH208" s="13">
        <v>1</v>
      </c>
      <c r="CI208" s="14">
        <f t="shared" si="72"/>
        <v>0.12</v>
      </c>
      <c r="CJ208" s="13"/>
      <c r="CK208" s="14"/>
      <c r="CL208" s="41"/>
      <c r="CN208" s="13">
        <v>2.2000000000000002</v>
      </c>
      <c r="CO208" s="13">
        <v>20</v>
      </c>
      <c r="CP208" s="13">
        <v>400</v>
      </c>
      <c r="CQ208" s="13">
        <v>2</v>
      </c>
      <c r="CR208" s="14">
        <f t="shared" si="67"/>
        <v>3.5200000000000002E-2</v>
      </c>
      <c r="CS208" s="13"/>
      <c r="CT208" s="14"/>
      <c r="CU208" s="13"/>
      <c r="CW208" s="13">
        <v>4.5</v>
      </c>
      <c r="CX208" s="13">
        <v>20</v>
      </c>
      <c r="CY208" s="13">
        <v>400</v>
      </c>
      <c r="CZ208" s="13">
        <v>16</v>
      </c>
      <c r="DA208" s="14">
        <f t="shared" si="78"/>
        <v>0.57599999999999996</v>
      </c>
      <c r="DB208" s="13"/>
      <c r="DC208" s="14"/>
      <c r="DD208" s="13"/>
      <c r="DF208" s="13">
        <v>4.5</v>
      </c>
      <c r="DG208" s="13">
        <v>13</v>
      </c>
      <c r="DH208" s="61">
        <v>400</v>
      </c>
      <c r="DI208" s="13">
        <v>12</v>
      </c>
      <c r="DJ208" s="14">
        <f t="shared" si="68"/>
        <v>0.28079999999999999</v>
      </c>
      <c r="DK208" s="13"/>
      <c r="DL208" s="14"/>
      <c r="DM208" s="13"/>
    </row>
    <row r="209" spans="2:117" ht="15.75" x14ac:dyDescent="0.25">
      <c r="B209" s="13">
        <v>10</v>
      </c>
      <c r="C209" s="13">
        <v>15</v>
      </c>
      <c r="D209" s="13">
        <v>400</v>
      </c>
      <c r="E209" s="13">
        <v>6</v>
      </c>
      <c r="F209" s="20">
        <f t="shared" si="76"/>
        <v>0.36</v>
      </c>
      <c r="G209" s="13"/>
      <c r="H209" s="14"/>
      <c r="I209" s="13"/>
      <c r="K209" s="231" t="s">
        <v>19</v>
      </c>
      <c r="L209" s="231"/>
      <c r="M209" s="231"/>
      <c r="N209" s="231"/>
      <c r="O209" s="231"/>
      <c r="P209" s="231"/>
      <c r="Q209" s="231"/>
      <c r="R209" s="231"/>
      <c r="T209" s="24" t="s">
        <v>10</v>
      </c>
      <c r="U209" s="23" t="s">
        <v>9</v>
      </c>
      <c r="V209" s="23" t="s">
        <v>8</v>
      </c>
      <c r="W209" s="22" t="s">
        <v>7</v>
      </c>
      <c r="X209" s="21" t="s">
        <v>6</v>
      </c>
      <c r="Y209" s="22" t="s">
        <v>7</v>
      </c>
      <c r="Z209" s="21" t="s">
        <v>6</v>
      </c>
      <c r="AA209" s="230"/>
      <c r="AC209" s="122">
        <v>4</v>
      </c>
      <c r="AD209" s="122">
        <v>6</v>
      </c>
      <c r="AE209" s="122">
        <v>400</v>
      </c>
      <c r="AF209" s="122">
        <v>180</v>
      </c>
      <c r="AG209" s="123">
        <f t="shared" si="70"/>
        <v>1.728</v>
      </c>
      <c r="AH209" s="122">
        <f t="shared" si="79"/>
        <v>180</v>
      </c>
      <c r="AI209" s="123">
        <f t="shared" si="79"/>
        <v>1.728</v>
      </c>
      <c r="AJ209" s="154" t="s">
        <v>23</v>
      </c>
      <c r="AL209" s="13">
        <v>10</v>
      </c>
      <c r="AM209" s="13">
        <v>28</v>
      </c>
      <c r="AN209" s="13">
        <v>400</v>
      </c>
      <c r="AO209" s="13">
        <v>1</v>
      </c>
      <c r="AP209" s="14">
        <f t="shared" si="69"/>
        <v>0.112</v>
      </c>
      <c r="AQ209" s="37"/>
      <c r="AR209" s="36"/>
      <c r="AS209" s="13"/>
      <c r="AU209" s="13">
        <v>7</v>
      </c>
      <c r="AV209" s="13">
        <v>20</v>
      </c>
      <c r="AW209" s="13">
        <v>400</v>
      </c>
      <c r="AX209" s="13">
        <v>2</v>
      </c>
      <c r="AY209" s="14">
        <f t="shared" si="63"/>
        <v>0.112</v>
      </c>
      <c r="AZ209" s="13"/>
      <c r="BA209" s="14"/>
      <c r="BB209" s="13"/>
      <c r="BD209" s="13">
        <v>7</v>
      </c>
      <c r="BE209" s="13">
        <v>25</v>
      </c>
      <c r="BF209" s="13">
        <v>400</v>
      </c>
      <c r="BG209" s="13">
        <v>2</v>
      </c>
      <c r="BH209" s="14">
        <f t="shared" si="77"/>
        <v>0.14000000000000001</v>
      </c>
      <c r="BI209" s="13"/>
      <c r="BJ209" s="14"/>
      <c r="BK209" s="13"/>
      <c r="BM209" s="4" t="s">
        <v>24</v>
      </c>
      <c r="BN209" s="4"/>
      <c r="BO209" s="6">
        <f>SUM(BP58)</f>
        <v>836</v>
      </c>
      <c r="BP209" s="5">
        <f>SUM(BQ58)</f>
        <v>12.049799999999999</v>
      </c>
      <c r="BQ209" s="7" t="s">
        <v>23</v>
      </c>
      <c r="BR209" s="6">
        <f>SUM(BR139+BR44+BR205)</f>
        <v>1497</v>
      </c>
      <c r="BS209" s="7">
        <f>SUM(BS139+BS44+BS205)</f>
        <v>32.446359999999999</v>
      </c>
      <c r="BV209" s="231" t="s">
        <v>19</v>
      </c>
      <c r="BW209" s="231"/>
      <c r="BX209" s="231"/>
      <c r="BY209" s="231"/>
      <c r="BZ209" s="231"/>
      <c r="CA209" s="231"/>
      <c r="CB209" s="231"/>
      <c r="CC209" s="231"/>
      <c r="CE209" s="13">
        <v>8</v>
      </c>
      <c r="CF209" s="13">
        <v>15</v>
      </c>
      <c r="CG209" s="13">
        <v>400</v>
      </c>
      <c r="CH209" s="13">
        <v>1</v>
      </c>
      <c r="CI209" s="14">
        <f t="shared" si="72"/>
        <v>4.8000000000000001E-2</v>
      </c>
      <c r="CJ209" s="13"/>
      <c r="CK209" s="14"/>
      <c r="CL209" s="41"/>
      <c r="CN209" s="13">
        <v>4.5</v>
      </c>
      <c r="CO209" s="13">
        <v>15</v>
      </c>
      <c r="CP209" s="13">
        <v>400</v>
      </c>
      <c r="CQ209" s="13">
        <v>24</v>
      </c>
      <c r="CR209" s="14">
        <f t="shared" si="67"/>
        <v>0.64800000000000002</v>
      </c>
      <c r="CS209" s="13"/>
      <c r="CT209" s="14"/>
      <c r="CU209" s="13"/>
      <c r="CW209" s="13">
        <v>13</v>
      </c>
      <c r="CX209" s="13">
        <v>20</v>
      </c>
      <c r="CY209" s="13">
        <v>400</v>
      </c>
      <c r="CZ209" s="13">
        <v>4</v>
      </c>
      <c r="DA209" s="14">
        <f t="shared" si="78"/>
        <v>0.41599999999999998</v>
      </c>
      <c r="DB209" s="13"/>
      <c r="DC209" s="14"/>
      <c r="DD209" s="13"/>
      <c r="DF209" s="13">
        <v>3.2</v>
      </c>
      <c r="DG209" s="13">
        <v>13</v>
      </c>
      <c r="DH209" s="61">
        <v>400</v>
      </c>
      <c r="DI209" s="13">
        <v>4</v>
      </c>
      <c r="DJ209" s="14">
        <f t="shared" si="68"/>
        <v>6.6559999999999994E-2</v>
      </c>
      <c r="DK209" s="13"/>
      <c r="DL209" s="14"/>
      <c r="DM209" s="13"/>
    </row>
    <row r="210" spans="2:117" ht="16.5" thickBot="1" x14ac:dyDescent="0.3">
      <c r="B210" s="13">
        <v>10</v>
      </c>
      <c r="C210" s="13">
        <v>15</v>
      </c>
      <c r="D210" s="13">
        <v>400</v>
      </c>
      <c r="E210" s="13">
        <v>1</v>
      </c>
      <c r="F210" s="20">
        <f t="shared" si="76"/>
        <v>0.06</v>
      </c>
      <c r="G210" s="13"/>
      <c r="H210" s="14"/>
      <c r="I210" s="13"/>
      <c r="K210" s="231"/>
      <c r="L210" s="231"/>
      <c r="M210" s="231"/>
      <c r="N210" s="231"/>
      <c r="O210" s="231"/>
      <c r="P210" s="231"/>
      <c r="Q210" s="231"/>
      <c r="R210" s="231"/>
      <c r="T210" s="13">
        <v>15</v>
      </c>
      <c r="U210" s="13">
        <v>23</v>
      </c>
      <c r="V210" s="13">
        <v>400</v>
      </c>
      <c r="W210" s="13">
        <v>1</v>
      </c>
      <c r="X210" s="14">
        <f t="shared" ref="X210:X244" si="80">T210*U210*V210*W210/1000000</f>
        <v>0.13800000000000001</v>
      </c>
      <c r="Y210" s="13"/>
      <c r="Z210" s="14"/>
      <c r="AA210" s="13"/>
      <c r="AC210" s="237"/>
      <c r="AD210" s="237"/>
      <c r="AE210" s="238"/>
      <c r="AF210" s="17">
        <f>SUM(AF183:AF209)</f>
        <v>429</v>
      </c>
      <c r="AG210" s="32">
        <f>SUM(AG183:AG209)</f>
        <v>10.613249999999999</v>
      </c>
      <c r="AH210" s="17">
        <f>SUM(AH183:AH209)</f>
        <v>429</v>
      </c>
      <c r="AI210" s="32">
        <f>SUM(AI183:AI209)</f>
        <v>10.613249999999999</v>
      </c>
      <c r="AJ210" s="17"/>
      <c r="AL210" s="13">
        <v>10</v>
      </c>
      <c r="AM210" s="13">
        <v>25</v>
      </c>
      <c r="AN210" s="13">
        <v>400</v>
      </c>
      <c r="AO210" s="13">
        <v>5</v>
      </c>
      <c r="AP210" s="14">
        <f t="shared" ref="AP210:AP237" si="81">AL210*AM210*AN210*AO210/1000000</f>
        <v>0.5</v>
      </c>
      <c r="AQ210" s="37"/>
      <c r="AR210" s="36"/>
      <c r="AS210" s="13"/>
      <c r="AU210" s="13">
        <v>13</v>
      </c>
      <c r="AV210" s="13">
        <v>15</v>
      </c>
      <c r="AW210" s="13">
        <v>400</v>
      </c>
      <c r="AX210" s="13">
        <v>1</v>
      </c>
      <c r="AY210" s="14">
        <f t="shared" si="63"/>
        <v>7.8E-2</v>
      </c>
      <c r="AZ210" s="13"/>
      <c r="BA210" s="14"/>
      <c r="BB210" s="13"/>
      <c r="BD210" s="13">
        <v>13</v>
      </c>
      <c r="BE210" s="13">
        <v>20</v>
      </c>
      <c r="BF210" s="13">
        <v>400</v>
      </c>
      <c r="BG210" s="13">
        <v>1</v>
      </c>
      <c r="BH210" s="14">
        <f t="shared" si="77"/>
        <v>0.104</v>
      </c>
      <c r="BI210" s="13"/>
      <c r="BJ210" s="14"/>
      <c r="BK210" s="13"/>
      <c r="BM210" s="4" t="s">
        <v>22</v>
      </c>
      <c r="BN210" s="4"/>
      <c r="BO210" s="6">
        <f>SUM(BP140)</f>
        <v>630</v>
      </c>
      <c r="BP210" s="5">
        <f>SUM(BQ140)</f>
        <v>12.124319999999999</v>
      </c>
      <c r="BQ210" s="7" t="s">
        <v>21</v>
      </c>
      <c r="BR210" s="6">
        <f>SUM(BR96+BR57+BR159)</f>
        <v>598</v>
      </c>
      <c r="BS210" s="7">
        <f>SUM(BS96+BS57+BS159)</f>
        <v>5.660400000000001</v>
      </c>
      <c r="BV210" s="231"/>
      <c r="BW210" s="231"/>
      <c r="BX210" s="231"/>
      <c r="BY210" s="231"/>
      <c r="BZ210" s="231"/>
      <c r="CA210" s="231"/>
      <c r="CB210" s="231"/>
      <c r="CC210" s="231"/>
      <c r="CE210" s="13">
        <v>7</v>
      </c>
      <c r="CF210" s="13">
        <v>15</v>
      </c>
      <c r="CG210" s="13">
        <v>400</v>
      </c>
      <c r="CH210" s="13">
        <v>4</v>
      </c>
      <c r="CI210" s="14">
        <f t="shared" si="72"/>
        <v>0.16800000000000001</v>
      </c>
      <c r="CJ210" s="13"/>
      <c r="CK210" s="14"/>
      <c r="CL210" s="41"/>
      <c r="CN210" s="13">
        <v>3.5</v>
      </c>
      <c r="CO210" s="13">
        <v>15</v>
      </c>
      <c r="CP210" s="13">
        <v>400</v>
      </c>
      <c r="CQ210" s="13">
        <v>8</v>
      </c>
      <c r="CR210" s="14">
        <f t="shared" si="67"/>
        <v>0.16800000000000001</v>
      </c>
      <c r="CS210" s="13"/>
      <c r="CT210" s="14"/>
      <c r="CU210" s="13"/>
      <c r="CW210" s="13">
        <v>15</v>
      </c>
      <c r="CX210" s="13">
        <v>20</v>
      </c>
      <c r="CY210" s="13">
        <v>400</v>
      </c>
      <c r="CZ210" s="13">
        <v>1</v>
      </c>
      <c r="DA210" s="14">
        <f t="shared" si="78"/>
        <v>0.12</v>
      </c>
      <c r="DB210" s="13"/>
      <c r="DC210" s="14"/>
      <c r="DD210" s="13"/>
      <c r="DF210" s="13">
        <v>2.2000000000000002</v>
      </c>
      <c r="DG210" s="13">
        <v>13</v>
      </c>
      <c r="DH210" s="61">
        <v>400</v>
      </c>
      <c r="DI210" s="13">
        <v>10</v>
      </c>
      <c r="DJ210" s="14">
        <f t="shared" si="68"/>
        <v>0.1144</v>
      </c>
      <c r="DK210" s="13">
        <f>SUM(DI177:DI210)</f>
        <v>177</v>
      </c>
      <c r="DL210" s="95">
        <f>SUM(DJ177:DJ210)</f>
        <v>10.792760000000001</v>
      </c>
      <c r="DM210" s="13"/>
    </row>
    <row r="211" spans="2:117" ht="17.25" thickTop="1" thickBot="1" x14ac:dyDescent="0.3">
      <c r="B211" s="13">
        <v>10</v>
      </c>
      <c r="C211" s="13">
        <v>13</v>
      </c>
      <c r="D211" s="13">
        <v>400</v>
      </c>
      <c r="E211" s="13">
        <v>1</v>
      </c>
      <c r="F211" s="20">
        <f t="shared" si="76"/>
        <v>5.1999999999999998E-2</v>
      </c>
      <c r="G211" s="13"/>
      <c r="H211" s="14"/>
      <c r="I211" s="13"/>
      <c r="K211" s="28" t="s">
        <v>18</v>
      </c>
      <c r="L211" s="27" t="s">
        <v>66</v>
      </c>
      <c r="M211" s="26"/>
      <c r="N211" s="26"/>
      <c r="O211" s="26"/>
      <c r="P211" s="26"/>
      <c r="Q211" s="26"/>
      <c r="R211" s="26"/>
      <c r="T211" s="13">
        <v>15</v>
      </c>
      <c r="U211" s="13">
        <v>20</v>
      </c>
      <c r="V211" s="13">
        <v>400</v>
      </c>
      <c r="W211" s="13">
        <v>3</v>
      </c>
      <c r="X211" s="14">
        <f t="shared" si="80"/>
        <v>0.36</v>
      </c>
      <c r="Y211" s="13"/>
      <c r="Z211" s="14"/>
      <c r="AA211" s="13"/>
      <c r="AL211" s="13">
        <v>13</v>
      </c>
      <c r="AM211" s="13">
        <v>25</v>
      </c>
      <c r="AN211" s="13">
        <v>400</v>
      </c>
      <c r="AO211" s="13">
        <v>1</v>
      </c>
      <c r="AP211" s="14">
        <f t="shared" si="81"/>
        <v>0.13</v>
      </c>
      <c r="AQ211" s="37"/>
      <c r="AR211" s="36"/>
      <c r="AS211" s="13"/>
      <c r="AU211" s="13">
        <v>10</v>
      </c>
      <c r="AV211" s="13">
        <v>15</v>
      </c>
      <c r="AW211" s="13">
        <v>400</v>
      </c>
      <c r="AX211" s="13">
        <v>2</v>
      </c>
      <c r="AY211" s="14">
        <f t="shared" si="63"/>
        <v>0.12</v>
      </c>
      <c r="AZ211" s="13"/>
      <c r="BA211" s="14"/>
      <c r="BB211" s="13"/>
      <c r="BD211" s="13">
        <v>15</v>
      </c>
      <c r="BE211" s="13">
        <v>20</v>
      </c>
      <c r="BF211" s="13">
        <v>400</v>
      </c>
      <c r="BG211" s="13">
        <v>2</v>
      </c>
      <c r="BH211" s="14">
        <f t="shared" si="77"/>
        <v>0.24</v>
      </c>
      <c r="BI211" s="13"/>
      <c r="BJ211" s="14"/>
      <c r="BK211" s="13"/>
      <c r="BM211" s="4" t="s">
        <v>20</v>
      </c>
      <c r="BN211" s="4"/>
      <c r="BO211" s="6">
        <f>SUM(BP206)</f>
        <v>629</v>
      </c>
      <c r="BP211" s="5">
        <f>SUM(BQ206)</f>
        <v>13.932639999999999</v>
      </c>
      <c r="BQ211" s="4"/>
      <c r="BR211" s="3">
        <f>SUM(BR209:BR210)</f>
        <v>2095</v>
      </c>
      <c r="BS211" s="53">
        <f>SUM(BS209:BS210)</f>
        <v>38.106760000000001</v>
      </c>
      <c r="BV211" s="28" t="s">
        <v>18</v>
      </c>
      <c r="BW211" s="27" t="s">
        <v>28</v>
      </c>
      <c r="BX211" s="26"/>
      <c r="BY211" s="26"/>
      <c r="BZ211" s="26"/>
      <c r="CA211" s="26"/>
      <c r="CB211" s="232" t="s">
        <v>134</v>
      </c>
      <c r="CC211" s="233"/>
      <c r="CE211" s="13">
        <v>3.5</v>
      </c>
      <c r="CF211" s="13">
        <v>15</v>
      </c>
      <c r="CG211" s="13">
        <v>400</v>
      </c>
      <c r="CH211" s="13">
        <v>6</v>
      </c>
      <c r="CI211" s="14">
        <f t="shared" si="72"/>
        <v>0.126</v>
      </c>
      <c r="CJ211" s="13"/>
      <c r="CK211" s="14"/>
      <c r="CL211" s="41"/>
      <c r="CN211" s="13">
        <v>2.2000000000000002</v>
      </c>
      <c r="CO211" s="13">
        <v>15</v>
      </c>
      <c r="CP211" s="13">
        <v>400</v>
      </c>
      <c r="CQ211" s="13">
        <v>7</v>
      </c>
      <c r="CR211" s="14">
        <f t="shared" si="67"/>
        <v>9.2399999999999996E-2</v>
      </c>
      <c r="CS211" s="13"/>
      <c r="CT211" s="14"/>
      <c r="CU211" s="13"/>
      <c r="CW211" s="13">
        <v>7</v>
      </c>
      <c r="CX211" s="13">
        <v>20</v>
      </c>
      <c r="CY211" s="13">
        <v>400</v>
      </c>
      <c r="CZ211" s="13">
        <v>7</v>
      </c>
      <c r="DA211" s="14">
        <f t="shared" si="78"/>
        <v>0.39200000000000002</v>
      </c>
      <c r="DB211" s="13"/>
      <c r="DC211" s="14"/>
      <c r="DD211" s="41"/>
      <c r="DF211" s="122">
        <v>5</v>
      </c>
      <c r="DG211" s="122">
        <v>7</v>
      </c>
      <c r="DH211" s="122">
        <v>400</v>
      </c>
      <c r="DI211" s="122">
        <v>188</v>
      </c>
      <c r="DJ211" s="123">
        <f t="shared" si="68"/>
        <v>2.6320000000000001</v>
      </c>
      <c r="DK211" s="122"/>
      <c r="DL211" s="124"/>
      <c r="DM211" s="122"/>
    </row>
    <row r="212" spans="2:117" ht="17.25" thickTop="1" thickBot="1" x14ac:dyDescent="0.3">
      <c r="B212" s="13">
        <v>10</v>
      </c>
      <c r="C212" s="13">
        <v>10</v>
      </c>
      <c r="D212" s="13">
        <v>400</v>
      </c>
      <c r="E212" s="13">
        <v>11</v>
      </c>
      <c r="F212" s="20">
        <f t="shared" si="76"/>
        <v>0.44</v>
      </c>
      <c r="G212" s="13">
        <f>SUM(E207:E212)</f>
        <v>24</v>
      </c>
      <c r="H212" s="14">
        <f>SUM(F207:F212)</f>
        <v>1.304</v>
      </c>
      <c r="I212" s="13"/>
      <c r="K212" s="28" t="s">
        <v>16</v>
      </c>
      <c r="L212" s="27" t="s">
        <v>65</v>
      </c>
      <c r="M212" s="26"/>
      <c r="N212" s="26"/>
      <c r="O212" s="26"/>
      <c r="P212" s="26"/>
      <c r="Q212" s="26"/>
      <c r="R212" s="26"/>
      <c r="T212" s="13">
        <v>15</v>
      </c>
      <c r="U212" s="13">
        <v>15</v>
      </c>
      <c r="V212" s="13">
        <v>400</v>
      </c>
      <c r="W212" s="13">
        <v>2</v>
      </c>
      <c r="X212" s="14">
        <f t="shared" si="80"/>
        <v>0.18</v>
      </c>
      <c r="Y212" s="13">
        <f>SUM(W210:W212)</f>
        <v>6</v>
      </c>
      <c r="Z212" s="14">
        <f>SUM(X210:X212)</f>
        <v>0.67799999999999994</v>
      </c>
      <c r="AA212" s="13"/>
      <c r="AC212" s="4" t="s">
        <v>53</v>
      </c>
      <c r="AD212" s="4"/>
      <c r="AE212" s="6">
        <f>SUM(AH195:AH208)</f>
        <v>249</v>
      </c>
      <c r="AF212" s="40">
        <f>SUM(AI195:AI208)</f>
        <v>8.8852499999999992</v>
      </c>
      <c r="AG212" s="4"/>
      <c r="AH212" s="4"/>
      <c r="AI212" s="4"/>
      <c r="AJ212" s="4"/>
      <c r="AL212" s="13">
        <v>10</v>
      </c>
      <c r="AM212" s="13">
        <v>30</v>
      </c>
      <c r="AN212" s="13">
        <v>400</v>
      </c>
      <c r="AO212" s="13">
        <v>1</v>
      </c>
      <c r="AP212" s="14">
        <f t="shared" si="81"/>
        <v>0.12</v>
      </c>
      <c r="AQ212" s="37"/>
      <c r="AR212" s="36"/>
      <c r="AS212" s="13"/>
      <c r="AU212" s="13">
        <v>8</v>
      </c>
      <c r="AV212" s="13">
        <v>15</v>
      </c>
      <c r="AW212" s="13">
        <v>400</v>
      </c>
      <c r="AX212" s="13">
        <v>1</v>
      </c>
      <c r="AY212" s="14">
        <f t="shared" si="63"/>
        <v>4.8000000000000001E-2</v>
      </c>
      <c r="AZ212" s="13"/>
      <c r="BA212" s="14"/>
      <c r="BB212" s="13"/>
      <c r="BD212" s="13">
        <v>4.5</v>
      </c>
      <c r="BE212" s="13">
        <v>20</v>
      </c>
      <c r="BF212" s="13">
        <v>400</v>
      </c>
      <c r="BG212" s="13">
        <v>3</v>
      </c>
      <c r="BH212" s="14">
        <f t="shared" si="77"/>
        <v>0.108</v>
      </c>
      <c r="BI212" s="13"/>
      <c r="BJ212" s="14"/>
      <c r="BK212" s="41"/>
      <c r="BM212" s="4"/>
      <c r="BN212" s="4"/>
      <c r="BO212" s="30">
        <f>SUM(BO209:BO211)</f>
        <v>2095</v>
      </c>
      <c r="BP212" s="29">
        <f>SUM(BP209:BP211)</f>
        <v>38.106759999999994</v>
      </c>
      <c r="BV212" s="28" t="s">
        <v>16</v>
      </c>
      <c r="BW212" s="27" t="s">
        <v>27</v>
      </c>
      <c r="BX212" s="26"/>
      <c r="BY212" s="26"/>
      <c r="BZ212" s="26"/>
      <c r="CA212" s="26"/>
      <c r="CB212" s="234"/>
      <c r="CC212" s="235"/>
      <c r="CE212" s="13">
        <v>4.5</v>
      </c>
      <c r="CF212" s="13">
        <v>15</v>
      </c>
      <c r="CG212" s="13">
        <v>400</v>
      </c>
      <c r="CH212" s="13">
        <v>13</v>
      </c>
      <c r="CI212" s="14">
        <f t="shared" si="72"/>
        <v>0.35099999999999998</v>
      </c>
      <c r="CJ212" s="13"/>
      <c r="CK212" s="14"/>
      <c r="CL212" s="41"/>
      <c r="CN212" s="13">
        <v>15</v>
      </c>
      <c r="CO212" s="13">
        <v>15</v>
      </c>
      <c r="CP212" s="13">
        <v>400</v>
      </c>
      <c r="CQ212" s="13">
        <v>1</v>
      </c>
      <c r="CR212" s="14">
        <f t="shared" si="67"/>
        <v>0.09</v>
      </c>
      <c r="CS212" s="13"/>
      <c r="CT212" s="14"/>
      <c r="CU212" s="13"/>
      <c r="CW212" s="13">
        <v>8</v>
      </c>
      <c r="CX212" s="13">
        <v>20</v>
      </c>
      <c r="CY212" s="13">
        <v>400</v>
      </c>
      <c r="CZ212" s="13">
        <v>1</v>
      </c>
      <c r="DA212" s="14">
        <f t="shared" si="78"/>
        <v>6.4000000000000001E-2</v>
      </c>
      <c r="DB212" s="13"/>
      <c r="DC212" s="14"/>
      <c r="DD212" s="41"/>
      <c r="DF212" s="122">
        <v>4</v>
      </c>
      <c r="DG212" s="122">
        <v>6</v>
      </c>
      <c r="DH212" s="122">
        <v>400</v>
      </c>
      <c r="DI212" s="122">
        <v>72</v>
      </c>
      <c r="DJ212" s="123">
        <f t="shared" si="68"/>
        <v>0.69120000000000004</v>
      </c>
      <c r="DK212" s="122">
        <f>SUM(DI211:DI212)</f>
        <v>260</v>
      </c>
      <c r="DL212" s="125">
        <f>SUM(DJ211:DJ212)</f>
        <v>3.3231999999999999</v>
      </c>
      <c r="DM212" s="122"/>
    </row>
    <row r="213" spans="2:117" ht="17.25" thickTop="1" thickBot="1" x14ac:dyDescent="0.3">
      <c r="B213" s="13">
        <v>8</v>
      </c>
      <c r="C213" s="13">
        <v>18</v>
      </c>
      <c r="D213" s="13">
        <v>400</v>
      </c>
      <c r="E213" s="13">
        <v>2</v>
      </c>
      <c r="F213" s="20">
        <f t="shared" si="76"/>
        <v>0.1152</v>
      </c>
      <c r="G213" s="13"/>
      <c r="H213" s="14"/>
      <c r="I213" s="13"/>
      <c r="K213" s="25"/>
      <c r="L213" s="25"/>
      <c r="M213" s="25"/>
      <c r="N213" s="25"/>
      <c r="O213" s="25"/>
      <c r="P213" s="225" t="s">
        <v>63</v>
      </c>
      <c r="Q213" s="225"/>
      <c r="R213" s="225"/>
      <c r="T213" s="13">
        <v>13</v>
      </c>
      <c r="U213" s="13">
        <v>30</v>
      </c>
      <c r="V213" s="13">
        <v>400</v>
      </c>
      <c r="W213" s="13">
        <v>2</v>
      </c>
      <c r="X213" s="14">
        <f t="shared" si="80"/>
        <v>0.312</v>
      </c>
      <c r="Y213" s="13"/>
      <c r="Z213" s="14"/>
      <c r="AA213" s="13"/>
      <c r="AC213" s="4" t="s">
        <v>52</v>
      </c>
      <c r="AD213" s="4"/>
      <c r="AE213" s="6">
        <f>SUM(AH209)</f>
        <v>180</v>
      </c>
      <c r="AF213" s="40">
        <f>SUM(AI209)</f>
        <v>1.728</v>
      </c>
      <c r="AG213" s="4"/>
      <c r="AH213" s="4"/>
      <c r="AI213" s="4"/>
      <c r="AJ213" s="4"/>
      <c r="AL213" s="13">
        <v>2.2000000000000002</v>
      </c>
      <c r="AM213" s="13">
        <v>20</v>
      </c>
      <c r="AN213" s="13">
        <v>400</v>
      </c>
      <c r="AO213" s="13">
        <v>6</v>
      </c>
      <c r="AP213" s="14">
        <f t="shared" si="81"/>
        <v>0.1056</v>
      </c>
      <c r="AQ213" s="37"/>
      <c r="AR213" s="36"/>
      <c r="AS213" s="13"/>
      <c r="AU213" s="13">
        <v>7</v>
      </c>
      <c r="AV213" s="13">
        <v>15</v>
      </c>
      <c r="AW213" s="13">
        <v>400</v>
      </c>
      <c r="AX213" s="13">
        <v>1</v>
      </c>
      <c r="AY213" s="14">
        <f t="shared" si="63"/>
        <v>4.2000000000000003E-2</v>
      </c>
      <c r="AZ213" s="13"/>
      <c r="BA213" s="14"/>
      <c r="BB213" s="13"/>
      <c r="BD213" s="13">
        <v>10</v>
      </c>
      <c r="BE213" s="13">
        <v>20</v>
      </c>
      <c r="BF213" s="13">
        <v>400</v>
      </c>
      <c r="BG213" s="13">
        <v>8</v>
      </c>
      <c r="BH213" s="14">
        <f t="shared" si="77"/>
        <v>0.64</v>
      </c>
      <c r="BI213" s="13"/>
      <c r="BJ213" s="14"/>
      <c r="BK213" s="13"/>
      <c r="BQ213" s="7" t="s">
        <v>118</v>
      </c>
      <c r="BR213" s="6">
        <f>SUM(BP186:BP189,BP139,BP40:BP44)</f>
        <v>851</v>
      </c>
      <c r="BS213" s="7">
        <f>SUM(BQ186:BQ189,BQ139,BQ40:BQ44)</f>
        <v>6.1145999999999994</v>
      </c>
      <c r="BV213" s="43"/>
      <c r="BW213" s="25"/>
      <c r="BX213" s="25"/>
      <c r="BY213" s="25"/>
      <c r="BZ213" s="25"/>
      <c r="CA213" s="225" t="s">
        <v>132</v>
      </c>
      <c r="CB213" s="225"/>
      <c r="CC213" s="225"/>
      <c r="CE213" s="13">
        <v>2.2000000000000002</v>
      </c>
      <c r="CF213" s="13">
        <v>15</v>
      </c>
      <c r="CG213" s="13">
        <v>400</v>
      </c>
      <c r="CH213" s="13">
        <v>8</v>
      </c>
      <c r="CI213" s="14">
        <f t="shared" si="72"/>
        <v>0.1056</v>
      </c>
      <c r="CJ213" s="13"/>
      <c r="CK213" s="14"/>
      <c r="CL213" s="41"/>
      <c r="CN213" s="13">
        <v>3.5</v>
      </c>
      <c r="CO213" s="13">
        <v>13</v>
      </c>
      <c r="CP213" s="13">
        <v>400</v>
      </c>
      <c r="CQ213" s="13">
        <v>5</v>
      </c>
      <c r="CR213" s="14">
        <f t="shared" si="67"/>
        <v>9.0999999999999998E-2</v>
      </c>
      <c r="CS213" s="13"/>
      <c r="CT213" s="14"/>
      <c r="CU213" s="13"/>
      <c r="CW213" s="13">
        <v>3.5</v>
      </c>
      <c r="CX213" s="13">
        <v>20</v>
      </c>
      <c r="CY213" s="13">
        <v>400</v>
      </c>
      <c r="CZ213" s="13">
        <v>2</v>
      </c>
      <c r="DA213" s="14">
        <f t="shared" si="78"/>
        <v>5.6000000000000001E-2</v>
      </c>
      <c r="DB213" s="13"/>
      <c r="DC213" s="14"/>
      <c r="DD213" s="41"/>
      <c r="DF213" s="115"/>
      <c r="DG213" s="115"/>
      <c r="DH213" s="115"/>
      <c r="DI213" s="17">
        <f>SUM(DI177:DI212)</f>
        <v>437</v>
      </c>
      <c r="DJ213" s="32">
        <f>SUM(DJ177:DJ212)</f>
        <v>14.115960000000001</v>
      </c>
      <c r="DK213" s="17">
        <f>SUM(DK177:DK212)</f>
        <v>437</v>
      </c>
      <c r="DL213" s="32">
        <f>SUM(DL177:DL212)</f>
        <v>14.115960000000001</v>
      </c>
      <c r="DM213" s="146" t="s">
        <v>23</v>
      </c>
    </row>
    <row r="214" spans="2:117" ht="17.25" thickTop="1" thickBot="1" x14ac:dyDescent="0.3">
      <c r="B214" s="13">
        <v>8</v>
      </c>
      <c r="C214" s="13">
        <v>15</v>
      </c>
      <c r="D214" s="13">
        <v>400</v>
      </c>
      <c r="E214" s="13">
        <v>1</v>
      </c>
      <c r="F214" s="20">
        <f t="shared" si="76"/>
        <v>4.8000000000000001E-2</v>
      </c>
      <c r="G214" s="13"/>
      <c r="H214" s="14"/>
      <c r="I214" s="13"/>
      <c r="K214" s="226" t="s">
        <v>13</v>
      </c>
      <c r="L214" s="227"/>
      <c r="M214" s="228"/>
      <c r="N214" s="227" t="s">
        <v>12</v>
      </c>
      <c r="O214" s="228"/>
      <c r="P214" s="227" t="s">
        <v>12</v>
      </c>
      <c r="Q214" s="228"/>
      <c r="R214" s="229" t="s">
        <v>11</v>
      </c>
      <c r="T214" s="13">
        <v>13</v>
      </c>
      <c r="U214" s="13">
        <v>25</v>
      </c>
      <c r="V214" s="13">
        <v>400</v>
      </c>
      <c r="W214" s="13">
        <v>1</v>
      </c>
      <c r="X214" s="14">
        <f t="shared" si="80"/>
        <v>0.13</v>
      </c>
      <c r="Y214" s="13"/>
      <c r="Z214" s="14"/>
      <c r="AA214" s="13"/>
      <c r="AC214" s="4"/>
      <c r="AD214" s="4"/>
      <c r="AE214" s="3">
        <f>SUM(AE212:AE213)</f>
        <v>429</v>
      </c>
      <c r="AF214" s="53">
        <f>SUM(AF212:AF213)</f>
        <v>10.613249999999999</v>
      </c>
      <c r="AG214" s="4"/>
      <c r="AH214" s="4"/>
      <c r="AI214" s="4"/>
      <c r="AJ214" s="4"/>
      <c r="AL214" s="13">
        <v>3.5</v>
      </c>
      <c r="AM214" s="13">
        <v>20</v>
      </c>
      <c r="AN214" s="13">
        <v>400</v>
      </c>
      <c r="AO214" s="13">
        <v>3</v>
      </c>
      <c r="AP214" s="14">
        <f t="shared" si="81"/>
        <v>8.4000000000000005E-2</v>
      </c>
      <c r="AQ214" s="37"/>
      <c r="AR214" s="36"/>
      <c r="AS214" s="13"/>
      <c r="AU214" s="13">
        <v>4.5</v>
      </c>
      <c r="AV214" s="13">
        <v>15</v>
      </c>
      <c r="AW214" s="13">
        <v>400</v>
      </c>
      <c r="AX214" s="13">
        <v>3</v>
      </c>
      <c r="AY214" s="14">
        <f t="shared" si="63"/>
        <v>8.1000000000000003E-2</v>
      </c>
      <c r="AZ214" s="13"/>
      <c r="BA214" s="14"/>
      <c r="BB214" s="13"/>
      <c r="BD214" s="13">
        <v>7</v>
      </c>
      <c r="BE214" s="13">
        <v>20</v>
      </c>
      <c r="BF214" s="13">
        <v>400</v>
      </c>
      <c r="BG214" s="13">
        <v>2</v>
      </c>
      <c r="BH214" s="14">
        <f t="shared" si="77"/>
        <v>0.112</v>
      </c>
      <c r="BI214" s="13"/>
      <c r="BJ214" s="14"/>
      <c r="BK214" s="41"/>
      <c r="BQ214" s="7" t="s">
        <v>119</v>
      </c>
      <c r="BR214" s="6">
        <f>SUM(BP190:BP205,BP160:BP185,BP97:BP138,BP8:BP39)</f>
        <v>646</v>
      </c>
      <c r="BS214" s="7">
        <f>SUM(BQ190:BQ205,BQ160:BQ185,BQ97:BQ138,BQ8:BQ39)</f>
        <v>26.331759999999999</v>
      </c>
      <c r="BV214" s="226" t="s">
        <v>13</v>
      </c>
      <c r="BW214" s="227"/>
      <c r="BX214" s="228"/>
      <c r="BY214" s="227" t="s">
        <v>12</v>
      </c>
      <c r="BZ214" s="228"/>
      <c r="CA214" s="227" t="s">
        <v>12</v>
      </c>
      <c r="CB214" s="228"/>
      <c r="CC214" s="229" t="s">
        <v>11</v>
      </c>
      <c r="CE214" s="13">
        <v>15</v>
      </c>
      <c r="CF214" s="13">
        <v>15</v>
      </c>
      <c r="CG214" s="13">
        <v>400</v>
      </c>
      <c r="CH214" s="13">
        <v>2</v>
      </c>
      <c r="CI214" s="14">
        <f t="shared" si="72"/>
        <v>0.18</v>
      </c>
      <c r="CJ214" s="13"/>
      <c r="CK214" s="14"/>
      <c r="CL214" s="41"/>
      <c r="CN214" s="13">
        <v>7</v>
      </c>
      <c r="CO214" s="13">
        <v>13</v>
      </c>
      <c r="CP214" s="13">
        <v>400</v>
      </c>
      <c r="CQ214" s="13">
        <v>1</v>
      </c>
      <c r="CR214" s="14">
        <f t="shared" si="67"/>
        <v>3.6400000000000002E-2</v>
      </c>
      <c r="CS214" s="13"/>
      <c r="CT214" s="14"/>
      <c r="CU214" s="13"/>
      <c r="CW214" s="13">
        <v>3.5</v>
      </c>
      <c r="CX214" s="13">
        <v>15</v>
      </c>
      <c r="CY214" s="13">
        <v>400</v>
      </c>
      <c r="CZ214" s="13">
        <v>11</v>
      </c>
      <c r="DA214" s="14">
        <f t="shared" si="78"/>
        <v>0.23100000000000001</v>
      </c>
      <c r="DB214" s="13"/>
      <c r="DC214" s="14"/>
      <c r="DD214" s="41"/>
    </row>
    <row r="215" spans="2:117" ht="16.5" thickTop="1" x14ac:dyDescent="0.25">
      <c r="B215" s="13">
        <v>8</v>
      </c>
      <c r="C215" s="13">
        <v>15</v>
      </c>
      <c r="D215" s="13">
        <v>400</v>
      </c>
      <c r="E215" s="13">
        <v>1</v>
      </c>
      <c r="F215" s="20">
        <f t="shared" si="76"/>
        <v>4.8000000000000001E-2</v>
      </c>
      <c r="G215" s="13"/>
      <c r="H215" s="14"/>
      <c r="I215" s="13"/>
      <c r="K215" s="24" t="s">
        <v>10</v>
      </c>
      <c r="L215" s="23" t="s">
        <v>9</v>
      </c>
      <c r="M215" s="23" t="s">
        <v>8</v>
      </c>
      <c r="N215" s="22" t="s">
        <v>7</v>
      </c>
      <c r="O215" s="21" t="s">
        <v>6</v>
      </c>
      <c r="P215" s="22" t="s">
        <v>7</v>
      </c>
      <c r="Q215" s="21" t="s">
        <v>6</v>
      </c>
      <c r="R215" s="230"/>
      <c r="T215" s="13">
        <v>13</v>
      </c>
      <c r="U215" s="13">
        <v>23</v>
      </c>
      <c r="V215" s="13">
        <v>400</v>
      </c>
      <c r="W215" s="13">
        <v>2</v>
      </c>
      <c r="X215" s="14">
        <f t="shared" si="80"/>
        <v>0.2392</v>
      </c>
      <c r="Y215" s="13"/>
      <c r="Z215" s="14"/>
      <c r="AA215" s="13"/>
      <c r="AC215" s="4"/>
      <c r="AD215" s="4"/>
      <c r="AE215" s="4"/>
      <c r="AF215" s="4"/>
      <c r="AG215" s="4"/>
      <c r="AH215" s="4"/>
      <c r="AI215" s="4"/>
      <c r="AJ215" s="4"/>
      <c r="AL215" s="13">
        <v>10</v>
      </c>
      <c r="AM215" s="13">
        <v>23</v>
      </c>
      <c r="AN215" s="13">
        <v>400</v>
      </c>
      <c r="AO215" s="13">
        <v>2</v>
      </c>
      <c r="AP215" s="14">
        <f t="shared" si="81"/>
        <v>0.184</v>
      </c>
      <c r="AQ215" s="37"/>
      <c r="AR215" s="36"/>
      <c r="AS215" s="13"/>
      <c r="AU215" s="13">
        <v>10</v>
      </c>
      <c r="AV215" s="13">
        <v>13</v>
      </c>
      <c r="AW215" s="13">
        <v>400</v>
      </c>
      <c r="AX215" s="13">
        <v>2</v>
      </c>
      <c r="AY215" s="14">
        <f t="shared" si="63"/>
        <v>0.104</v>
      </c>
      <c r="AZ215" s="13"/>
      <c r="BA215" s="14"/>
      <c r="BB215" s="13"/>
      <c r="BD215" s="13">
        <v>8</v>
      </c>
      <c r="BE215" s="13">
        <v>20</v>
      </c>
      <c r="BF215" s="13">
        <v>400</v>
      </c>
      <c r="BG215" s="13">
        <v>3</v>
      </c>
      <c r="BH215" s="14">
        <f t="shared" si="77"/>
        <v>0.192</v>
      </c>
      <c r="BI215" s="13"/>
      <c r="BJ215" s="14"/>
      <c r="BK215" s="41"/>
      <c r="BQ215" s="7" t="s">
        <v>149</v>
      </c>
      <c r="BR215" s="6">
        <f>SUM(BP156:BP159,BP92:BP96,BP53:BP57,)</f>
        <v>482</v>
      </c>
      <c r="BS215" s="7">
        <f>SUM(BQ156:BQ159,BQ92:BQ96,BQ53:BQ57,)</f>
        <v>2.3887999999999998</v>
      </c>
      <c r="BV215" s="24" t="s">
        <v>10</v>
      </c>
      <c r="BW215" s="23" t="s">
        <v>9</v>
      </c>
      <c r="BX215" s="23" t="s">
        <v>8</v>
      </c>
      <c r="BY215" s="22" t="s">
        <v>7</v>
      </c>
      <c r="BZ215" s="21" t="s">
        <v>6</v>
      </c>
      <c r="CA215" s="22" t="s">
        <v>7</v>
      </c>
      <c r="CB215" s="21" t="s">
        <v>6</v>
      </c>
      <c r="CC215" s="230"/>
      <c r="CE215" s="13">
        <v>13</v>
      </c>
      <c r="CF215" s="13">
        <v>15</v>
      </c>
      <c r="CG215" s="13">
        <v>400</v>
      </c>
      <c r="CH215" s="13">
        <v>3</v>
      </c>
      <c r="CI215" s="14">
        <f t="shared" si="72"/>
        <v>0.23400000000000001</v>
      </c>
      <c r="CJ215" s="13"/>
      <c r="CK215" s="14"/>
      <c r="CL215" s="41"/>
      <c r="CN215" s="13">
        <v>4.5</v>
      </c>
      <c r="CO215" s="13">
        <v>13</v>
      </c>
      <c r="CP215" s="13">
        <v>400</v>
      </c>
      <c r="CQ215" s="13">
        <v>11</v>
      </c>
      <c r="CR215" s="14">
        <f t="shared" si="67"/>
        <v>0.25740000000000002</v>
      </c>
      <c r="CS215" s="13"/>
      <c r="CT215" s="14"/>
      <c r="CU215" s="13"/>
      <c r="CW215" s="13">
        <v>15</v>
      </c>
      <c r="CX215" s="13">
        <v>15</v>
      </c>
      <c r="CY215" s="13">
        <v>400</v>
      </c>
      <c r="CZ215" s="13">
        <v>1</v>
      </c>
      <c r="DA215" s="14">
        <f t="shared" si="78"/>
        <v>0.09</v>
      </c>
      <c r="DB215" s="13"/>
      <c r="DC215" s="14"/>
      <c r="DD215" s="41"/>
      <c r="DF215" s="231" t="s">
        <v>19</v>
      </c>
      <c r="DG215" s="231"/>
      <c r="DH215" s="231"/>
      <c r="DI215" s="231"/>
      <c r="DJ215" s="231"/>
      <c r="DK215" s="231"/>
      <c r="DL215" s="231"/>
      <c r="DM215" s="231"/>
    </row>
    <row r="216" spans="2:117" ht="15.75" x14ac:dyDescent="0.25">
      <c r="B216" s="13">
        <v>8</v>
      </c>
      <c r="C216" s="13">
        <v>13</v>
      </c>
      <c r="D216" s="13">
        <v>400</v>
      </c>
      <c r="E216" s="13">
        <v>1</v>
      </c>
      <c r="F216" s="20">
        <f t="shared" si="76"/>
        <v>4.1599999999999998E-2</v>
      </c>
      <c r="G216" s="13"/>
      <c r="H216" s="14"/>
      <c r="I216" s="13"/>
      <c r="K216" s="13">
        <v>15</v>
      </c>
      <c r="L216" s="13">
        <v>25</v>
      </c>
      <c r="M216" s="13">
        <v>400</v>
      </c>
      <c r="N216" s="13">
        <v>1</v>
      </c>
      <c r="O216" s="14">
        <f t="shared" ref="O216:O234" si="82">K216*L216*M216*N216/1000000</f>
        <v>0.15</v>
      </c>
      <c r="P216" s="13"/>
      <c r="Q216" s="14"/>
      <c r="R216" s="13"/>
      <c r="T216" s="13">
        <v>13</v>
      </c>
      <c r="U216" s="13">
        <v>20</v>
      </c>
      <c r="V216" s="13">
        <v>400</v>
      </c>
      <c r="W216" s="13">
        <v>4</v>
      </c>
      <c r="X216" s="14">
        <f t="shared" si="80"/>
        <v>0.41599999999999998</v>
      </c>
      <c r="Y216" s="13"/>
      <c r="Z216" s="14"/>
      <c r="AA216" s="13"/>
      <c r="AC216" s="28" t="s">
        <v>18</v>
      </c>
      <c r="AD216" s="27" t="s">
        <v>62</v>
      </c>
      <c r="AE216" s="26"/>
      <c r="AF216" s="26"/>
      <c r="AG216" s="26"/>
      <c r="AH216" s="26"/>
      <c r="AI216" s="26"/>
      <c r="AJ216" s="26"/>
      <c r="AL216" s="13">
        <v>10</v>
      </c>
      <c r="AM216" s="13">
        <v>20</v>
      </c>
      <c r="AN216" s="13">
        <v>400</v>
      </c>
      <c r="AO216" s="13">
        <v>5</v>
      </c>
      <c r="AP216" s="14">
        <f t="shared" si="81"/>
        <v>0.4</v>
      </c>
      <c r="AQ216" s="37"/>
      <c r="AR216" s="36"/>
      <c r="AS216" s="13"/>
      <c r="AU216" s="13">
        <v>7</v>
      </c>
      <c r="AV216" s="13">
        <v>13</v>
      </c>
      <c r="AW216" s="13">
        <v>400</v>
      </c>
      <c r="AX216" s="13">
        <v>2</v>
      </c>
      <c r="AY216" s="14">
        <f t="shared" si="63"/>
        <v>7.2800000000000004E-2</v>
      </c>
      <c r="AZ216" s="13"/>
      <c r="BA216" s="14"/>
      <c r="BB216" s="13"/>
      <c r="BD216" s="13">
        <v>15</v>
      </c>
      <c r="BE216" s="13">
        <v>15</v>
      </c>
      <c r="BF216" s="13">
        <v>400</v>
      </c>
      <c r="BG216" s="13">
        <v>1</v>
      </c>
      <c r="BH216" s="14">
        <f t="shared" si="77"/>
        <v>0.09</v>
      </c>
      <c r="BI216" s="13"/>
      <c r="BJ216" s="14"/>
      <c r="BK216" s="13"/>
      <c r="BQ216" s="7" t="s">
        <v>148</v>
      </c>
      <c r="BR216" s="6">
        <f>SUM(BP149:BP155,BP67:BP91,BP45:BP52,)</f>
        <v>116</v>
      </c>
      <c r="BS216" s="7">
        <f>SUM(BQ149:BQ155,BQ67:BQ91,BQ45:BQ52,)</f>
        <v>3.2715999999999998</v>
      </c>
      <c r="BV216" s="13">
        <v>15</v>
      </c>
      <c r="BW216" s="13">
        <v>30</v>
      </c>
      <c r="BX216" s="13">
        <v>400</v>
      </c>
      <c r="BY216" s="13">
        <v>8</v>
      </c>
      <c r="BZ216" s="14">
        <f t="shared" ref="BZ216:BZ247" si="83">BV216*BW216*BX216*BY216/1000000</f>
        <v>1.44</v>
      </c>
      <c r="CA216" s="13"/>
      <c r="CB216" s="14"/>
      <c r="CC216" s="13"/>
      <c r="CE216" s="13">
        <v>10</v>
      </c>
      <c r="CF216" s="13">
        <v>15</v>
      </c>
      <c r="CG216" s="13">
        <v>400</v>
      </c>
      <c r="CH216" s="13">
        <v>3</v>
      </c>
      <c r="CI216" s="14">
        <f t="shared" si="72"/>
        <v>0.18</v>
      </c>
      <c r="CJ216" s="13"/>
      <c r="CK216" s="14"/>
      <c r="CL216" s="41"/>
      <c r="CN216" s="13">
        <v>2.2000000000000002</v>
      </c>
      <c r="CO216" s="13">
        <v>13</v>
      </c>
      <c r="CP216" s="13">
        <v>400</v>
      </c>
      <c r="CQ216" s="13">
        <v>8</v>
      </c>
      <c r="CR216" s="14">
        <f t="shared" si="67"/>
        <v>9.1520000000000004E-2</v>
      </c>
      <c r="CS216" s="13"/>
      <c r="CT216" s="14"/>
      <c r="CU216" s="13"/>
      <c r="CW216" s="13">
        <v>2.2000000000000002</v>
      </c>
      <c r="CX216" s="13">
        <v>15</v>
      </c>
      <c r="CY216" s="13">
        <v>400</v>
      </c>
      <c r="CZ216" s="13">
        <v>13</v>
      </c>
      <c r="DA216" s="14">
        <f t="shared" si="78"/>
        <v>0.1716</v>
      </c>
      <c r="DB216" s="13"/>
      <c r="DC216" s="14"/>
      <c r="DD216" s="41"/>
      <c r="DF216" s="231"/>
      <c r="DG216" s="231"/>
      <c r="DH216" s="231"/>
      <c r="DI216" s="231"/>
      <c r="DJ216" s="231"/>
      <c r="DK216" s="231"/>
      <c r="DL216" s="231"/>
      <c r="DM216" s="231"/>
    </row>
    <row r="217" spans="2:117" ht="16.5" thickBot="1" x14ac:dyDescent="0.3">
      <c r="B217" s="13">
        <v>8</v>
      </c>
      <c r="C217" s="13">
        <v>10</v>
      </c>
      <c r="D217" s="13">
        <v>400</v>
      </c>
      <c r="E217" s="13">
        <v>2</v>
      </c>
      <c r="F217" s="20">
        <f t="shared" si="76"/>
        <v>6.4000000000000001E-2</v>
      </c>
      <c r="G217" s="13">
        <f>SUM(E213:E217)</f>
        <v>7</v>
      </c>
      <c r="H217" s="14">
        <f>SUM(F213:F217)</f>
        <v>0.31680000000000003</v>
      </c>
      <c r="I217" s="13"/>
      <c r="K217" s="13">
        <v>15</v>
      </c>
      <c r="L217" s="13">
        <v>23</v>
      </c>
      <c r="M217" s="13">
        <v>400</v>
      </c>
      <c r="N217" s="13">
        <v>1</v>
      </c>
      <c r="O217" s="14">
        <f t="shared" si="82"/>
        <v>0.13800000000000001</v>
      </c>
      <c r="P217" s="13"/>
      <c r="Q217" s="14"/>
      <c r="R217" s="13"/>
      <c r="T217" s="13">
        <v>13</v>
      </c>
      <c r="U217" s="13">
        <v>18</v>
      </c>
      <c r="V217" s="13">
        <v>400</v>
      </c>
      <c r="W217" s="13">
        <v>1</v>
      </c>
      <c r="X217" s="14">
        <f t="shared" si="80"/>
        <v>9.3600000000000003E-2</v>
      </c>
      <c r="Y217" s="13">
        <f>SUM(W213:W217)</f>
        <v>10</v>
      </c>
      <c r="Z217" s="14">
        <f>SUM(X213:X217)</f>
        <v>1.1907999999999999</v>
      </c>
      <c r="AA217" s="13"/>
      <c r="AC217" s="28" t="s">
        <v>16</v>
      </c>
      <c r="AD217" s="27" t="s">
        <v>61</v>
      </c>
      <c r="AE217" s="26"/>
      <c r="AF217" s="26"/>
      <c r="AG217" s="26"/>
      <c r="AH217" s="26"/>
      <c r="AI217" s="26"/>
      <c r="AJ217" s="26"/>
      <c r="AL217" s="13">
        <v>7</v>
      </c>
      <c r="AM217" s="13">
        <v>20</v>
      </c>
      <c r="AN217" s="13">
        <v>400</v>
      </c>
      <c r="AO217" s="13">
        <v>2</v>
      </c>
      <c r="AP217" s="14">
        <f t="shared" si="81"/>
        <v>0.112</v>
      </c>
      <c r="AQ217" s="37"/>
      <c r="AR217" s="36"/>
      <c r="AS217" s="13"/>
      <c r="AU217" s="13">
        <v>4.5</v>
      </c>
      <c r="AV217" s="13">
        <v>13</v>
      </c>
      <c r="AW217" s="13">
        <v>400</v>
      </c>
      <c r="AX217" s="13">
        <v>3</v>
      </c>
      <c r="AY217" s="14">
        <f t="shared" si="63"/>
        <v>7.0199999999999999E-2</v>
      </c>
      <c r="AZ217" s="13"/>
      <c r="BA217" s="14"/>
      <c r="BB217" s="13"/>
      <c r="BD217" s="13">
        <v>7</v>
      </c>
      <c r="BE217" s="13">
        <v>15</v>
      </c>
      <c r="BF217" s="13">
        <v>400</v>
      </c>
      <c r="BG217" s="13">
        <v>5</v>
      </c>
      <c r="BH217" s="14">
        <f t="shared" si="77"/>
        <v>0.21</v>
      </c>
      <c r="BI217" s="13"/>
      <c r="BJ217" s="14"/>
      <c r="BK217" s="13"/>
      <c r="BR217" s="3">
        <f>SUM(BR213:BR216)</f>
        <v>2095</v>
      </c>
      <c r="BS217" s="53">
        <f>SUM(BS213:BS216)</f>
        <v>38.106760000000001</v>
      </c>
      <c r="BV217" s="13">
        <v>13</v>
      </c>
      <c r="BW217" s="13">
        <v>30</v>
      </c>
      <c r="BX217" s="13">
        <v>400</v>
      </c>
      <c r="BY217" s="13">
        <v>3</v>
      </c>
      <c r="BZ217" s="14">
        <f t="shared" si="83"/>
        <v>0.46800000000000003</v>
      </c>
      <c r="CA217" s="13"/>
      <c r="CB217" s="14"/>
      <c r="CC217" s="13"/>
      <c r="CE217" s="13">
        <v>4.5</v>
      </c>
      <c r="CF217" s="13">
        <v>13</v>
      </c>
      <c r="CG217" s="13">
        <v>400</v>
      </c>
      <c r="CH217" s="13">
        <v>9</v>
      </c>
      <c r="CI217" s="14">
        <f t="shared" si="72"/>
        <v>0.21060000000000001</v>
      </c>
      <c r="CJ217" s="13"/>
      <c r="CK217" s="14"/>
      <c r="CL217" s="41"/>
      <c r="CN217" s="13">
        <v>4.5</v>
      </c>
      <c r="CO217" s="13">
        <v>10</v>
      </c>
      <c r="CP217" s="13">
        <v>400</v>
      </c>
      <c r="CQ217" s="13">
        <v>52</v>
      </c>
      <c r="CR217" s="14">
        <f t="shared" si="67"/>
        <v>0.93600000000000005</v>
      </c>
      <c r="CS217" s="13"/>
      <c r="CT217" s="14"/>
      <c r="CU217" s="13"/>
      <c r="CW217" s="13">
        <v>4.5</v>
      </c>
      <c r="CX217" s="13">
        <v>15</v>
      </c>
      <c r="CY217" s="13">
        <v>400</v>
      </c>
      <c r="CZ217" s="13">
        <v>21</v>
      </c>
      <c r="DA217" s="14">
        <f t="shared" si="78"/>
        <v>0.56699999999999995</v>
      </c>
      <c r="DB217" s="13"/>
      <c r="DC217" s="14"/>
      <c r="DD217" s="41"/>
      <c r="DF217" s="28" t="s">
        <v>18</v>
      </c>
      <c r="DG217" s="27" t="s">
        <v>45</v>
      </c>
    </row>
    <row r="218" spans="2:117" ht="16.5" thickTop="1" x14ac:dyDescent="0.25">
      <c r="B218" s="13">
        <v>5</v>
      </c>
      <c r="C218" s="13">
        <v>15</v>
      </c>
      <c r="D218" s="13">
        <v>400</v>
      </c>
      <c r="E218" s="13">
        <v>9</v>
      </c>
      <c r="F218" s="20">
        <f t="shared" si="76"/>
        <v>0.27</v>
      </c>
      <c r="G218" s="13"/>
      <c r="H218" s="14"/>
      <c r="I218" s="13"/>
      <c r="K218" s="13">
        <v>15</v>
      </c>
      <c r="L218" s="13">
        <v>20</v>
      </c>
      <c r="M218" s="13">
        <v>400</v>
      </c>
      <c r="N218" s="13">
        <v>3</v>
      </c>
      <c r="O218" s="14">
        <f t="shared" si="82"/>
        <v>0.36</v>
      </c>
      <c r="P218" s="13"/>
      <c r="Q218" s="14"/>
      <c r="R218" s="13"/>
      <c r="T218" s="13">
        <v>10</v>
      </c>
      <c r="U218" s="13">
        <v>30</v>
      </c>
      <c r="V218" s="13">
        <v>400</v>
      </c>
      <c r="W218" s="13">
        <v>1</v>
      </c>
      <c r="X218" s="14">
        <f t="shared" si="80"/>
        <v>0.12</v>
      </c>
      <c r="Y218" s="13"/>
      <c r="Z218" s="14"/>
      <c r="AA218" s="13"/>
      <c r="AC218" s="25"/>
      <c r="AD218" s="25"/>
      <c r="AE218" s="25"/>
      <c r="AF218" s="25"/>
      <c r="AG218" s="25"/>
      <c r="AH218" s="225" t="s">
        <v>54</v>
      </c>
      <c r="AI218" s="225"/>
      <c r="AJ218" s="225"/>
      <c r="AL218" s="13">
        <v>2.2000000000000002</v>
      </c>
      <c r="AM218" s="13">
        <v>18</v>
      </c>
      <c r="AN218" s="13">
        <v>400</v>
      </c>
      <c r="AO218" s="13">
        <v>2</v>
      </c>
      <c r="AP218" s="14">
        <f t="shared" si="81"/>
        <v>3.168E-2</v>
      </c>
      <c r="AQ218" s="37"/>
      <c r="AR218" s="36"/>
      <c r="AS218" s="13"/>
      <c r="AU218" s="13">
        <v>2.2000000000000002</v>
      </c>
      <c r="AV218" s="13">
        <v>13</v>
      </c>
      <c r="AW218" s="13">
        <v>400</v>
      </c>
      <c r="AX218" s="13">
        <v>4</v>
      </c>
      <c r="AY218" s="14">
        <f t="shared" si="63"/>
        <v>4.5760000000000002E-2</v>
      </c>
      <c r="AZ218" s="13"/>
      <c r="BA218" s="14"/>
      <c r="BB218" s="13"/>
      <c r="BD218" s="13">
        <v>8</v>
      </c>
      <c r="BE218" s="13">
        <v>15</v>
      </c>
      <c r="BF218" s="13">
        <v>400</v>
      </c>
      <c r="BG218" s="13">
        <v>1</v>
      </c>
      <c r="BH218" s="14">
        <f t="shared" si="77"/>
        <v>4.8000000000000001E-2</v>
      </c>
      <c r="BI218" s="13"/>
      <c r="BJ218" s="14"/>
      <c r="BK218" s="13"/>
      <c r="BV218" s="13">
        <v>10</v>
      </c>
      <c r="BW218" s="13">
        <v>30</v>
      </c>
      <c r="BX218" s="13">
        <v>400</v>
      </c>
      <c r="BY218" s="13">
        <v>6</v>
      </c>
      <c r="BZ218" s="14">
        <f t="shared" si="83"/>
        <v>0.72</v>
      </c>
      <c r="CA218" s="13"/>
      <c r="CB218" s="14"/>
      <c r="CC218" s="13"/>
      <c r="CE218" s="13">
        <v>3.5</v>
      </c>
      <c r="CF218" s="13">
        <v>13</v>
      </c>
      <c r="CG218" s="13">
        <v>400</v>
      </c>
      <c r="CH218" s="13">
        <v>4</v>
      </c>
      <c r="CI218" s="14">
        <f t="shared" si="72"/>
        <v>7.2800000000000004E-2</v>
      </c>
      <c r="CJ218" s="37"/>
      <c r="CK218" s="36"/>
      <c r="CL218" s="41"/>
      <c r="CN218" s="13">
        <v>1.7</v>
      </c>
      <c r="CO218" s="13">
        <v>10</v>
      </c>
      <c r="CP218" s="13">
        <v>400</v>
      </c>
      <c r="CQ218" s="13">
        <v>3</v>
      </c>
      <c r="CR218" s="14">
        <f t="shared" si="67"/>
        <v>2.0400000000000001E-2</v>
      </c>
      <c r="CS218" s="13"/>
      <c r="CT218" s="14"/>
      <c r="CU218" s="13"/>
      <c r="CW218" s="13">
        <v>1.7</v>
      </c>
      <c r="CX218" s="13">
        <v>15</v>
      </c>
      <c r="CY218" s="13">
        <v>400</v>
      </c>
      <c r="CZ218" s="13">
        <v>1</v>
      </c>
      <c r="DA218" s="14">
        <f t="shared" si="78"/>
        <v>1.0200000000000001E-2</v>
      </c>
      <c r="DB218" s="13"/>
      <c r="DC218" s="14"/>
      <c r="DD218" s="41"/>
      <c r="DF218" s="28" t="s">
        <v>16</v>
      </c>
      <c r="DG218" s="27" t="s">
        <v>44</v>
      </c>
    </row>
    <row r="219" spans="2:117" ht="15.75" customHeight="1" x14ac:dyDescent="0.25">
      <c r="B219" s="13">
        <v>5</v>
      </c>
      <c r="C219" s="13">
        <v>10</v>
      </c>
      <c r="D219" s="13">
        <v>400</v>
      </c>
      <c r="E219" s="13">
        <v>90</v>
      </c>
      <c r="F219" s="20">
        <f t="shared" si="76"/>
        <v>1.8</v>
      </c>
      <c r="G219" s="13"/>
      <c r="H219" s="14"/>
      <c r="I219" s="13"/>
      <c r="K219" s="13">
        <v>15</v>
      </c>
      <c r="L219" s="13">
        <v>15</v>
      </c>
      <c r="M219" s="13">
        <v>400</v>
      </c>
      <c r="N219" s="13">
        <v>13</v>
      </c>
      <c r="O219" s="14">
        <f t="shared" si="82"/>
        <v>1.17</v>
      </c>
      <c r="P219" s="13">
        <f>SUM(N216:N219)</f>
        <v>18</v>
      </c>
      <c r="Q219" s="14">
        <f>SUM(O216:O219)</f>
        <v>1.8180000000000001</v>
      </c>
      <c r="R219" s="13"/>
      <c r="T219" s="13">
        <v>10</v>
      </c>
      <c r="U219" s="13">
        <v>23</v>
      </c>
      <c r="V219" s="13">
        <v>400</v>
      </c>
      <c r="W219" s="13">
        <v>1</v>
      </c>
      <c r="X219" s="14">
        <f t="shared" si="80"/>
        <v>9.1999999999999998E-2</v>
      </c>
      <c r="Y219" s="13"/>
      <c r="Z219" s="14"/>
      <c r="AA219" s="13"/>
      <c r="AC219" s="226" t="s">
        <v>13</v>
      </c>
      <c r="AD219" s="227"/>
      <c r="AE219" s="228"/>
      <c r="AF219" s="227" t="s">
        <v>12</v>
      </c>
      <c r="AG219" s="228"/>
      <c r="AH219" s="227" t="s">
        <v>12</v>
      </c>
      <c r="AI219" s="228"/>
      <c r="AJ219" s="229" t="s">
        <v>11</v>
      </c>
      <c r="AL219" s="13">
        <v>15</v>
      </c>
      <c r="AM219" s="13">
        <v>20</v>
      </c>
      <c r="AN219" s="13">
        <v>400</v>
      </c>
      <c r="AO219" s="13">
        <v>2</v>
      </c>
      <c r="AP219" s="14">
        <f t="shared" si="81"/>
        <v>0.24</v>
      </c>
      <c r="AQ219" s="37"/>
      <c r="AR219" s="36"/>
      <c r="AS219" s="13"/>
      <c r="AU219" s="13">
        <v>4.5</v>
      </c>
      <c r="AV219" s="13">
        <v>10</v>
      </c>
      <c r="AW219" s="13">
        <v>400</v>
      </c>
      <c r="AX219" s="13">
        <v>54</v>
      </c>
      <c r="AY219" s="14">
        <f t="shared" si="63"/>
        <v>0.97199999999999998</v>
      </c>
      <c r="AZ219" s="13"/>
      <c r="BA219" s="14"/>
      <c r="BB219" s="13"/>
      <c r="BD219" s="13">
        <v>10</v>
      </c>
      <c r="BE219" s="13">
        <v>15</v>
      </c>
      <c r="BF219" s="13">
        <v>400</v>
      </c>
      <c r="BG219" s="13">
        <v>2</v>
      </c>
      <c r="BH219" s="14">
        <f t="shared" si="77"/>
        <v>0.12</v>
      </c>
      <c r="BI219" s="13"/>
      <c r="BJ219" s="14"/>
      <c r="BK219" s="13"/>
      <c r="BV219" s="13">
        <v>15</v>
      </c>
      <c r="BW219" s="13">
        <v>25</v>
      </c>
      <c r="BX219" s="13">
        <v>400</v>
      </c>
      <c r="BY219" s="13">
        <v>3</v>
      </c>
      <c r="BZ219" s="14">
        <f t="shared" si="83"/>
        <v>0.45</v>
      </c>
      <c r="CA219" s="13"/>
      <c r="CB219" s="14"/>
      <c r="CC219" s="13"/>
      <c r="CE219" s="13">
        <v>2.2000000000000002</v>
      </c>
      <c r="CF219" s="13">
        <v>13</v>
      </c>
      <c r="CG219" s="13">
        <v>400</v>
      </c>
      <c r="CH219" s="13">
        <v>3</v>
      </c>
      <c r="CI219" s="14">
        <f t="shared" si="72"/>
        <v>3.4320000000000003E-2</v>
      </c>
      <c r="CJ219" s="13"/>
      <c r="CK219" s="14"/>
      <c r="CL219" s="13"/>
      <c r="CN219" s="13">
        <v>2.2000000000000002</v>
      </c>
      <c r="CO219" s="13">
        <v>10</v>
      </c>
      <c r="CP219" s="13">
        <v>400</v>
      </c>
      <c r="CQ219" s="13">
        <v>30</v>
      </c>
      <c r="CR219" s="14">
        <f t="shared" si="67"/>
        <v>0.26400000000000001</v>
      </c>
      <c r="CS219" s="13"/>
      <c r="CT219" s="14"/>
      <c r="CU219" s="13"/>
      <c r="CW219" s="13">
        <v>7</v>
      </c>
      <c r="CX219" s="13">
        <v>15</v>
      </c>
      <c r="CY219" s="13">
        <v>400</v>
      </c>
      <c r="CZ219" s="13">
        <v>9</v>
      </c>
      <c r="DA219" s="14">
        <f t="shared" si="78"/>
        <v>0.378</v>
      </c>
      <c r="DB219" s="13"/>
      <c r="DC219" s="14"/>
      <c r="DD219" s="41"/>
      <c r="DF219" s="43"/>
      <c r="DG219" s="25"/>
      <c r="DH219" s="25"/>
      <c r="DI219" s="25"/>
      <c r="DJ219" s="25"/>
      <c r="DK219" s="225" t="s">
        <v>190</v>
      </c>
      <c r="DL219" s="225"/>
      <c r="DM219" s="225"/>
    </row>
    <row r="220" spans="2:117" ht="15.75" customHeight="1" x14ac:dyDescent="0.25">
      <c r="B220" s="13">
        <v>5</v>
      </c>
      <c r="C220" s="13">
        <v>8</v>
      </c>
      <c r="D220" s="13">
        <v>400</v>
      </c>
      <c r="E220" s="13">
        <v>8</v>
      </c>
      <c r="F220" s="20">
        <f t="shared" si="76"/>
        <v>0.128</v>
      </c>
      <c r="G220" s="13">
        <f>SUM(E218:E220)</f>
        <v>107</v>
      </c>
      <c r="H220" s="14">
        <f>SUM(F218:F220)</f>
        <v>2.1980000000000004</v>
      </c>
      <c r="I220" s="13"/>
      <c r="K220" s="13">
        <v>12</v>
      </c>
      <c r="L220" s="13">
        <v>15</v>
      </c>
      <c r="M220" s="13">
        <v>400</v>
      </c>
      <c r="N220" s="13">
        <v>21</v>
      </c>
      <c r="O220" s="14">
        <f t="shared" si="82"/>
        <v>1.512</v>
      </c>
      <c r="P220" s="13">
        <f t="shared" ref="P220:Q223" si="84">SUM(N220)</f>
        <v>21</v>
      </c>
      <c r="Q220" s="14">
        <f t="shared" si="84"/>
        <v>1.512</v>
      </c>
      <c r="R220" s="13"/>
      <c r="T220" s="13">
        <v>10</v>
      </c>
      <c r="U220" s="13">
        <v>20</v>
      </c>
      <c r="V220" s="13">
        <v>400</v>
      </c>
      <c r="W220" s="13">
        <v>13</v>
      </c>
      <c r="X220" s="14">
        <f t="shared" si="80"/>
        <v>1.04</v>
      </c>
      <c r="Y220" s="13"/>
      <c r="Z220" s="14"/>
      <c r="AA220" s="13"/>
      <c r="AC220" s="24" t="s">
        <v>10</v>
      </c>
      <c r="AD220" s="23" t="s">
        <v>9</v>
      </c>
      <c r="AE220" s="23" t="s">
        <v>8</v>
      </c>
      <c r="AF220" s="22" t="s">
        <v>7</v>
      </c>
      <c r="AG220" s="21" t="s">
        <v>6</v>
      </c>
      <c r="AH220" s="22" t="s">
        <v>7</v>
      </c>
      <c r="AI220" s="21" t="s">
        <v>6</v>
      </c>
      <c r="AJ220" s="230"/>
      <c r="AL220" s="13">
        <v>13</v>
      </c>
      <c r="AM220" s="13">
        <v>20</v>
      </c>
      <c r="AN220" s="13">
        <v>400</v>
      </c>
      <c r="AO220" s="13">
        <v>6</v>
      </c>
      <c r="AP220" s="14">
        <f t="shared" si="81"/>
        <v>0.624</v>
      </c>
      <c r="AQ220" s="37"/>
      <c r="AR220" s="36"/>
      <c r="AS220" s="13"/>
      <c r="AU220" s="13">
        <v>3.5</v>
      </c>
      <c r="AV220" s="13">
        <v>10</v>
      </c>
      <c r="AW220" s="13">
        <v>400</v>
      </c>
      <c r="AX220" s="13">
        <v>10</v>
      </c>
      <c r="AY220" s="14">
        <f t="shared" si="63"/>
        <v>0.14000000000000001</v>
      </c>
      <c r="AZ220" s="13"/>
      <c r="BA220" s="14"/>
      <c r="BB220" s="13"/>
      <c r="BD220" s="13">
        <v>4.5</v>
      </c>
      <c r="BE220" s="13">
        <v>15</v>
      </c>
      <c r="BF220" s="13">
        <v>400</v>
      </c>
      <c r="BG220" s="13">
        <v>5</v>
      </c>
      <c r="BH220" s="14">
        <f t="shared" si="77"/>
        <v>0.13500000000000001</v>
      </c>
      <c r="BI220" s="13"/>
      <c r="BJ220" s="14"/>
      <c r="BK220" s="13"/>
      <c r="BV220" s="13">
        <v>13</v>
      </c>
      <c r="BW220" s="13">
        <v>20</v>
      </c>
      <c r="BX220" s="13">
        <v>400</v>
      </c>
      <c r="BY220" s="13">
        <v>7</v>
      </c>
      <c r="BZ220" s="14">
        <f t="shared" si="83"/>
        <v>0.72799999999999998</v>
      </c>
      <c r="CA220" s="13"/>
      <c r="CB220" s="14"/>
      <c r="CC220" s="13"/>
      <c r="CE220" s="13">
        <v>1.7</v>
      </c>
      <c r="CF220" s="13">
        <v>13</v>
      </c>
      <c r="CG220" s="13">
        <v>400</v>
      </c>
      <c r="CH220" s="13">
        <v>1</v>
      </c>
      <c r="CI220" s="14">
        <f t="shared" si="72"/>
        <v>8.8400000000000006E-3</v>
      </c>
      <c r="CJ220" s="13"/>
      <c r="CK220" s="14"/>
      <c r="CL220" s="13"/>
      <c r="CN220" s="13">
        <v>7</v>
      </c>
      <c r="CO220" s="13">
        <v>10</v>
      </c>
      <c r="CP220" s="13">
        <v>400</v>
      </c>
      <c r="CQ220" s="13">
        <v>7</v>
      </c>
      <c r="CR220" s="14">
        <f t="shared" si="67"/>
        <v>0.19600000000000001</v>
      </c>
      <c r="CS220" s="13"/>
      <c r="CT220" s="14"/>
      <c r="CU220" s="13"/>
      <c r="CW220" s="13">
        <v>10</v>
      </c>
      <c r="CX220" s="13">
        <v>15</v>
      </c>
      <c r="CY220" s="13">
        <v>400</v>
      </c>
      <c r="CZ220" s="13">
        <v>7</v>
      </c>
      <c r="DA220" s="14">
        <f t="shared" si="78"/>
        <v>0.42</v>
      </c>
      <c r="DB220" s="13"/>
      <c r="DC220" s="14"/>
      <c r="DD220" s="41"/>
      <c r="DF220" s="226" t="s">
        <v>13</v>
      </c>
      <c r="DG220" s="227"/>
      <c r="DH220" s="228"/>
      <c r="DI220" s="227" t="s">
        <v>12</v>
      </c>
      <c r="DJ220" s="228"/>
      <c r="DK220" s="227" t="s">
        <v>12</v>
      </c>
      <c r="DL220" s="228"/>
      <c r="DM220" s="229" t="s">
        <v>11</v>
      </c>
    </row>
    <row r="221" spans="2:117" ht="15.75" x14ac:dyDescent="0.25">
      <c r="B221" s="122">
        <v>4.2</v>
      </c>
      <c r="C221" s="122">
        <v>7</v>
      </c>
      <c r="D221" s="122">
        <v>400</v>
      </c>
      <c r="E221" s="122">
        <v>176</v>
      </c>
      <c r="F221" s="132">
        <f t="shared" si="76"/>
        <v>2.06976</v>
      </c>
      <c r="G221" s="122"/>
      <c r="H221" s="123"/>
      <c r="I221" s="122"/>
      <c r="K221" s="13">
        <v>10</v>
      </c>
      <c r="L221" s="13">
        <v>15</v>
      </c>
      <c r="M221" s="13">
        <v>400</v>
      </c>
      <c r="N221" s="13">
        <v>31</v>
      </c>
      <c r="O221" s="14">
        <f t="shared" si="82"/>
        <v>1.86</v>
      </c>
      <c r="P221" s="13">
        <f t="shared" si="84"/>
        <v>31</v>
      </c>
      <c r="Q221" s="14">
        <f t="shared" si="84"/>
        <v>1.86</v>
      </c>
      <c r="R221" s="13"/>
      <c r="T221" s="13">
        <v>10</v>
      </c>
      <c r="U221" s="13">
        <v>18</v>
      </c>
      <c r="V221" s="13">
        <v>400</v>
      </c>
      <c r="W221" s="13">
        <v>3</v>
      </c>
      <c r="X221" s="14">
        <f t="shared" si="80"/>
        <v>0.216</v>
      </c>
      <c r="Y221" s="13"/>
      <c r="Z221" s="14"/>
      <c r="AA221" s="13"/>
      <c r="AC221" s="13">
        <v>15</v>
      </c>
      <c r="AD221" s="13">
        <v>33</v>
      </c>
      <c r="AE221" s="13">
        <v>300</v>
      </c>
      <c r="AF221" s="13">
        <v>1</v>
      </c>
      <c r="AG221" s="14">
        <f t="shared" ref="AG221:AG261" si="85">AC221*AD221*AE221*AF221/1000000</f>
        <v>0.14849999999999999</v>
      </c>
      <c r="AH221" s="13"/>
      <c r="AI221" s="14"/>
      <c r="AJ221" s="13"/>
      <c r="AL221" s="13">
        <v>10</v>
      </c>
      <c r="AM221" s="13">
        <v>18</v>
      </c>
      <c r="AN221" s="13">
        <v>400</v>
      </c>
      <c r="AO221" s="13">
        <v>1</v>
      </c>
      <c r="AP221" s="14">
        <f t="shared" si="81"/>
        <v>7.1999999999999995E-2</v>
      </c>
      <c r="AQ221" s="37"/>
      <c r="AR221" s="36"/>
      <c r="AS221" s="13"/>
      <c r="AU221" s="13">
        <v>6</v>
      </c>
      <c r="AV221" s="13">
        <v>10</v>
      </c>
      <c r="AW221" s="13">
        <v>400</v>
      </c>
      <c r="AX221" s="13">
        <v>2</v>
      </c>
      <c r="AY221" s="14">
        <f t="shared" si="63"/>
        <v>4.8000000000000001E-2</v>
      </c>
      <c r="AZ221" s="13"/>
      <c r="BA221" s="14"/>
      <c r="BB221" s="13"/>
      <c r="BD221" s="13">
        <v>3.5</v>
      </c>
      <c r="BE221" s="13">
        <v>15</v>
      </c>
      <c r="BF221" s="13">
        <v>400</v>
      </c>
      <c r="BG221" s="13">
        <v>3</v>
      </c>
      <c r="BH221" s="14">
        <f t="shared" si="77"/>
        <v>6.3E-2</v>
      </c>
      <c r="BI221" s="13"/>
      <c r="BJ221" s="14"/>
      <c r="BK221" s="13"/>
      <c r="BV221" s="13">
        <v>4.5</v>
      </c>
      <c r="BW221" s="13">
        <v>30</v>
      </c>
      <c r="BX221" s="13">
        <v>400</v>
      </c>
      <c r="BY221" s="13">
        <v>1</v>
      </c>
      <c r="BZ221" s="14">
        <f t="shared" si="83"/>
        <v>5.3999999999999999E-2</v>
      </c>
      <c r="CA221" s="13"/>
      <c r="CB221" s="14"/>
      <c r="CC221" s="13"/>
      <c r="CE221" s="13">
        <v>4.5</v>
      </c>
      <c r="CF221" s="13">
        <v>10</v>
      </c>
      <c r="CG221" s="13">
        <v>400</v>
      </c>
      <c r="CH221" s="13">
        <v>39</v>
      </c>
      <c r="CI221" s="14">
        <f t="shared" si="72"/>
        <v>0.70199999999999996</v>
      </c>
      <c r="CJ221" s="13"/>
      <c r="CK221" s="14"/>
      <c r="CL221" s="13"/>
      <c r="CN221" s="13">
        <v>3.5</v>
      </c>
      <c r="CO221" s="13">
        <v>10</v>
      </c>
      <c r="CP221" s="13">
        <v>400</v>
      </c>
      <c r="CQ221" s="13">
        <v>15</v>
      </c>
      <c r="CR221" s="14">
        <f t="shared" si="67"/>
        <v>0.21</v>
      </c>
      <c r="CS221" s="13"/>
      <c r="CT221" s="14"/>
      <c r="CU221" s="13"/>
      <c r="CW221" s="13">
        <v>13</v>
      </c>
      <c r="CX221" s="13">
        <v>15</v>
      </c>
      <c r="CY221" s="13">
        <v>400</v>
      </c>
      <c r="CZ221" s="13">
        <v>2</v>
      </c>
      <c r="DA221" s="14">
        <f t="shared" si="78"/>
        <v>0.156</v>
      </c>
      <c r="DB221" s="13"/>
      <c r="DC221" s="14"/>
      <c r="DD221" s="41"/>
      <c r="DF221" s="24" t="s">
        <v>10</v>
      </c>
      <c r="DG221" s="23" t="s">
        <v>9</v>
      </c>
      <c r="DH221" s="23" t="s">
        <v>8</v>
      </c>
      <c r="DI221" s="22" t="s">
        <v>7</v>
      </c>
      <c r="DJ221" s="21" t="s">
        <v>6</v>
      </c>
      <c r="DK221" s="22" t="s">
        <v>7</v>
      </c>
      <c r="DL221" s="21" t="s">
        <v>6</v>
      </c>
      <c r="DM221" s="230"/>
    </row>
    <row r="222" spans="2:117" ht="15.75" x14ac:dyDescent="0.25">
      <c r="B222" s="122">
        <v>4.2</v>
      </c>
      <c r="C222" s="122">
        <v>7</v>
      </c>
      <c r="D222" s="122">
        <v>300</v>
      </c>
      <c r="E222" s="122">
        <v>5</v>
      </c>
      <c r="F222" s="132">
        <f t="shared" si="76"/>
        <v>4.41E-2</v>
      </c>
      <c r="G222" s="122">
        <f>SUM(E221:E222)</f>
        <v>181</v>
      </c>
      <c r="H222" s="123">
        <f>SUM(F221:F222)</f>
        <v>2.1138599999999999</v>
      </c>
      <c r="I222" s="122"/>
      <c r="K222" s="13">
        <v>9.5</v>
      </c>
      <c r="L222" s="13">
        <v>9.5</v>
      </c>
      <c r="M222" s="13">
        <v>400</v>
      </c>
      <c r="N222" s="13">
        <v>14</v>
      </c>
      <c r="O222" s="14">
        <f t="shared" si="82"/>
        <v>0.50539999999999996</v>
      </c>
      <c r="P222" s="13">
        <f t="shared" si="84"/>
        <v>14</v>
      </c>
      <c r="Q222" s="14">
        <f t="shared" si="84"/>
        <v>0.50539999999999996</v>
      </c>
      <c r="R222" s="13"/>
      <c r="T222" s="13">
        <v>10</v>
      </c>
      <c r="U222" s="13">
        <v>15</v>
      </c>
      <c r="V222" s="13">
        <v>400</v>
      </c>
      <c r="W222" s="13">
        <v>5</v>
      </c>
      <c r="X222" s="14">
        <f t="shared" si="80"/>
        <v>0.3</v>
      </c>
      <c r="Y222" s="13"/>
      <c r="Z222" s="14"/>
      <c r="AA222" s="13"/>
      <c r="AC222" s="13">
        <v>15</v>
      </c>
      <c r="AD222" s="13">
        <v>31</v>
      </c>
      <c r="AE222" s="13">
        <v>400</v>
      </c>
      <c r="AF222" s="13">
        <v>2</v>
      </c>
      <c r="AG222" s="14">
        <f t="shared" si="85"/>
        <v>0.372</v>
      </c>
      <c r="AH222" s="13"/>
      <c r="AI222" s="14"/>
      <c r="AJ222" s="13"/>
      <c r="AL222" s="13">
        <v>7</v>
      </c>
      <c r="AM222" s="13">
        <v>18</v>
      </c>
      <c r="AN222" s="13">
        <v>400</v>
      </c>
      <c r="AO222" s="13">
        <v>1</v>
      </c>
      <c r="AP222" s="14">
        <f t="shared" si="81"/>
        <v>5.04E-2</v>
      </c>
      <c r="AQ222" s="37"/>
      <c r="AR222" s="36"/>
      <c r="AS222" s="13"/>
      <c r="AU222" s="13">
        <v>2.2000000000000002</v>
      </c>
      <c r="AV222" s="13">
        <v>10</v>
      </c>
      <c r="AW222" s="13">
        <v>400</v>
      </c>
      <c r="AX222" s="13">
        <v>16</v>
      </c>
      <c r="AY222" s="14">
        <f t="shared" si="63"/>
        <v>0.14080000000000001</v>
      </c>
      <c r="AZ222" s="13"/>
      <c r="BA222" s="14"/>
      <c r="BB222" s="13"/>
      <c r="BD222" s="13">
        <v>4.5</v>
      </c>
      <c r="BE222" s="13">
        <v>13</v>
      </c>
      <c r="BF222" s="13">
        <v>400</v>
      </c>
      <c r="BG222" s="13">
        <v>7</v>
      </c>
      <c r="BH222" s="14">
        <f t="shared" si="77"/>
        <v>0.1638</v>
      </c>
      <c r="BI222" s="13"/>
      <c r="BJ222" s="14"/>
      <c r="BK222" s="13"/>
      <c r="BV222" s="13">
        <v>13</v>
      </c>
      <c r="BW222" s="13">
        <v>25</v>
      </c>
      <c r="BX222" s="13">
        <v>400</v>
      </c>
      <c r="BY222" s="13">
        <v>5</v>
      </c>
      <c r="BZ222" s="14">
        <f t="shared" si="83"/>
        <v>0.65</v>
      </c>
      <c r="CA222" s="13"/>
      <c r="CB222" s="14"/>
      <c r="CC222" s="13"/>
      <c r="CE222" s="13">
        <v>3.5</v>
      </c>
      <c r="CF222" s="13">
        <v>10</v>
      </c>
      <c r="CG222" s="13">
        <v>400</v>
      </c>
      <c r="CH222" s="13">
        <v>13</v>
      </c>
      <c r="CI222" s="14">
        <f t="shared" si="72"/>
        <v>0.182</v>
      </c>
      <c r="CJ222" s="13"/>
      <c r="CK222" s="14"/>
      <c r="CL222" s="13"/>
      <c r="CN222" s="122">
        <v>5</v>
      </c>
      <c r="CO222" s="122">
        <v>7</v>
      </c>
      <c r="CP222" s="122">
        <v>400</v>
      </c>
      <c r="CQ222" s="122">
        <v>140</v>
      </c>
      <c r="CR222" s="123">
        <f t="shared" si="67"/>
        <v>1.96</v>
      </c>
      <c r="CS222" s="122"/>
      <c r="CT222" s="123"/>
      <c r="CU222" s="122"/>
      <c r="CW222" s="13">
        <v>2.2000000000000002</v>
      </c>
      <c r="CX222" s="13">
        <v>10</v>
      </c>
      <c r="CY222" s="13">
        <v>400</v>
      </c>
      <c r="CZ222" s="13">
        <v>87</v>
      </c>
      <c r="DA222" s="14">
        <f t="shared" si="78"/>
        <v>0.76559999999999995</v>
      </c>
      <c r="DB222" s="13"/>
      <c r="DC222" s="14"/>
      <c r="DD222" s="41"/>
      <c r="DF222" s="13">
        <v>15</v>
      </c>
      <c r="DG222" s="13">
        <v>30</v>
      </c>
      <c r="DH222" s="61">
        <v>400</v>
      </c>
      <c r="DI222" s="13">
        <v>1</v>
      </c>
      <c r="DJ222" s="14">
        <f t="shared" ref="DJ222:DJ246" si="86">DF222*DG222*DH222*DI222/1000000</f>
        <v>0.18</v>
      </c>
      <c r="DK222" s="13"/>
      <c r="DL222" s="14"/>
      <c r="DM222" s="13"/>
    </row>
    <row r="223" spans="2:117" ht="15.75" x14ac:dyDescent="0.25">
      <c r="B223" s="13">
        <v>3.2</v>
      </c>
      <c r="C223" s="13">
        <v>13</v>
      </c>
      <c r="D223" s="13">
        <v>400</v>
      </c>
      <c r="E223" s="13">
        <v>3</v>
      </c>
      <c r="F223" s="20">
        <f t="shared" si="76"/>
        <v>4.9919999999999999E-2</v>
      </c>
      <c r="G223" s="13"/>
      <c r="H223" s="14"/>
      <c r="I223" s="13"/>
      <c r="K223" s="13">
        <v>8</v>
      </c>
      <c r="L223" s="13">
        <v>15</v>
      </c>
      <c r="M223" s="13">
        <v>400</v>
      </c>
      <c r="N223" s="13">
        <v>1</v>
      </c>
      <c r="O223" s="14">
        <f t="shared" si="82"/>
        <v>4.8000000000000001E-2</v>
      </c>
      <c r="P223" s="13">
        <f t="shared" si="84"/>
        <v>1</v>
      </c>
      <c r="Q223" s="14">
        <f t="shared" si="84"/>
        <v>4.8000000000000001E-2</v>
      </c>
      <c r="R223" s="13"/>
      <c r="T223" s="13">
        <v>10</v>
      </c>
      <c r="U223" s="13">
        <v>13</v>
      </c>
      <c r="V223" s="13">
        <v>400</v>
      </c>
      <c r="W223" s="13">
        <v>2</v>
      </c>
      <c r="X223" s="14">
        <f t="shared" si="80"/>
        <v>0.104</v>
      </c>
      <c r="Y223" s="13"/>
      <c r="Z223" s="14"/>
      <c r="AA223" s="13"/>
      <c r="AC223" s="13">
        <v>15</v>
      </c>
      <c r="AD223" s="13">
        <v>31</v>
      </c>
      <c r="AE223" s="13">
        <v>300</v>
      </c>
      <c r="AF223" s="13">
        <v>2</v>
      </c>
      <c r="AG223" s="14">
        <f t="shared" si="85"/>
        <v>0.27900000000000003</v>
      </c>
      <c r="AH223" s="13"/>
      <c r="AI223" s="14"/>
      <c r="AJ223" s="13"/>
      <c r="AL223" s="13">
        <v>15</v>
      </c>
      <c r="AM223" s="13">
        <v>15</v>
      </c>
      <c r="AN223" s="13">
        <v>400</v>
      </c>
      <c r="AO223" s="13">
        <v>3</v>
      </c>
      <c r="AP223" s="14">
        <f t="shared" si="81"/>
        <v>0.27</v>
      </c>
      <c r="AQ223" s="37"/>
      <c r="AR223" s="36"/>
      <c r="AS223" s="13"/>
      <c r="AU223" s="13">
        <v>10</v>
      </c>
      <c r="AV223" s="13">
        <v>10</v>
      </c>
      <c r="AW223" s="13">
        <v>400</v>
      </c>
      <c r="AX223" s="13">
        <v>6</v>
      </c>
      <c r="AY223" s="14">
        <f t="shared" si="63"/>
        <v>0.24</v>
      </c>
      <c r="AZ223" s="13"/>
      <c r="BA223" s="14"/>
      <c r="BB223" s="13"/>
      <c r="BD223" s="13">
        <v>1.7</v>
      </c>
      <c r="BE223" s="13">
        <v>13</v>
      </c>
      <c r="BF223" s="13">
        <v>400</v>
      </c>
      <c r="BG223" s="13">
        <v>1</v>
      </c>
      <c r="BH223" s="14">
        <f t="shared" si="77"/>
        <v>8.8400000000000006E-3</v>
      </c>
      <c r="BI223" s="13"/>
      <c r="BJ223" s="14"/>
      <c r="BK223" s="13"/>
      <c r="BM223" s="231" t="s">
        <v>19</v>
      </c>
      <c r="BN223" s="231"/>
      <c r="BO223" s="231"/>
      <c r="BP223" s="231"/>
      <c r="BQ223" s="231"/>
      <c r="BR223" s="231"/>
      <c r="BS223" s="231"/>
      <c r="BT223" s="231"/>
      <c r="BV223" s="13">
        <v>10</v>
      </c>
      <c r="BW223" s="13">
        <v>25</v>
      </c>
      <c r="BX223" s="13">
        <v>400</v>
      </c>
      <c r="BY223" s="13">
        <v>3</v>
      </c>
      <c r="BZ223" s="14">
        <f t="shared" si="83"/>
        <v>0.3</v>
      </c>
      <c r="CA223" s="13"/>
      <c r="CB223" s="14"/>
      <c r="CC223" s="13"/>
      <c r="CE223" s="13">
        <v>2.2000000000000002</v>
      </c>
      <c r="CF223" s="13">
        <v>10</v>
      </c>
      <c r="CG223" s="13">
        <v>400</v>
      </c>
      <c r="CH223" s="13">
        <v>23</v>
      </c>
      <c r="CI223" s="14">
        <f t="shared" si="72"/>
        <v>0.2024</v>
      </c>
      <c r="CJ223" s="13"/>
      <c r="CK223" s="14"/>
      <c r="CL223" s="13"/>
      <c r="CN223" s="122">
        <v>4</v>
      </c>
      <c r="CO223" s="122">
        <v>6</v>
      </c>
      <c r="CP223" s="122">
        <v>400</v>
      </c>
      <c r="CQ223" s="122">
        <v>42</v>
      </c>
      <c r="CR223" s="123">
        <f t="shared" si="67"/>
        <v>0.4032</v>
      </c>
      <c r="CS223" s="122"/>
      <c r="CT223" s="123"/>
      <c r="CU223" s="122"/>
      <c r="CW223" s="13">
        <v>1.7</v>
      </c>
      <c r="CX223" s="13">
        <v>10</v>
      </c>
      <c r="CY223" s="13">
        <v>400</v>
      </c>
      <c r="CZ223" s="13">
        <v>13</v>
      </c>
      <c r="DA223" s="14">
        <f t="shared" si="78"/>
        <v>8.8400000000000006E-2</v>
      </c>
      <c r="DB223" s="13"/>
      <c r="DC223" s="14"/>
      <c r="DD223" s="41"/>
      <c r="DF223" s="13">
        <v>13</v>
      </c>
      <c r="DG223" s="13">
        <v>30</v>
      </c>
      <c r="DH223" s="61">
        <v>400</v>
      </c>
      <c r="DI223" s="13">
        <v>1</v>
      </c>
      <c r="DJ223" s="14">
        <f t="shared" si="86"/>
        <v>0.156</v>
      </c>
      <c r="DK223" s="13"/>
      <c r="DL223" s="14"/>
      <c r="DM223" s="13"/>
    </row>
    <row r="224" spans="2:117" ht="15.75" x14ac:dyDescent="0.25">
      <c r="B224" s="13">
        <v>3.2</v>
      </c>
      <c r="C224" s="13">
        <v>11</v>
      </c>
      <c r="D224" s="13">
        <v>400</v>
      </c>
      <c r="E224" s="13">
        <v>2</v>
      </c>
      <c r="F224" s="20">
        <f t="shared" si="76"/>
        <v>2.8160000000000004E-2</v>
      </c>
      <c r="G224" s="13"/>
      <c r="H224" s="14"/>
      <c r="I224" s="13"/>
      <c r="K224" s="13">
        <v>6</v>
      </c>
      <c r="L224" s="13">
        <v>15</v>
      </c>
      <c r="M224" s="13">
        <v>400</v>
      </c>
      <c r="N224" s="13">
        <v>29</v>
      </c>
      <c r="O224" s="14">
        <f t="shared" si="82"/>
        <v>1.044</v>
      </c>
      <c r="P224" s="13"/>
      <c r="Q224" s="14"/>
      <c r="R224" s="13"/>
      <c r="T224" s="13">
        <v>10</v>
      </c>
      <c r="U224" s="13">
        <v>10</v>
      </c>
      <c r="V224" s="13">
        <v>400</v>
      </c>
      <c r="W224" s="13">
        <v>9</v>
      </c>
      <c r="X224" s="14">
        <f t="shared" si="80"/>
        <v>0.36</v>
      </c>
      <c r="Y224" s="13">
        <f>SUM(W218:W224)</f>
        <v>34</v>
      </c>
      <c r="Z224" s="14">
        <f>SUM(X218:X224)</f>
        <v>2.2320000000000002</v>
      </c>
      <c r="AA224" s="13"/>
      <c r="AC224" s="13">
        <v>15</v>
      </c>
      <c r="AD224" s="13">
        <v>30</v>
      </c>
      <c r="AE224" s="13">
        <v>400</v>
      </c>
      <c r="AF224" s="13">
        <v>3</v>
      </c>
      <c r="AG224" s="14">
        <f t="shared" si="85"/>
        <v>0.54</v>
      </c>
      <c r="AH224" s="13"/>
      <c r="AI224" s="14"/>
      <c r="AJ224" s="13"/>
      <c r="AL224" s="13">
        <v>7</v>
      </c>
      <c r="AM224" s="13">
        <v>25</v>
      </c>
      <c r="AN224" s="13">
        <v>400</v>
      </c>
      <c r="AO224" s="13">
        <v>3</v>
      </c>
      <c r="AP224" s="14">
        <f t="shared" si="81"/>
        <v>0.21</v>
      </c>
      <c r="AQ224" s="37"/>
      <c r="AR224" s="36"/>
      <c r="AS224" s="13"/>
      <c r="AU224" s="13">
        <v>8</v>
      </c>
      <c r="AV224" s="13">
        <v>10</v>
      </c>
      <c r="AW224" s="13">
        <v>400</v>
      </c>
      <c r="AX224" s="13">
        <v>2</v>
      </c>
      <c r="AY224" s="14">
        <f t="shared" si="63"/>
        <v>6.4000000000000001E-2</v>
      </c>
      <c r="AZ224" s="13"/>
      <c r="BA224" s="14"/>
      <c r="BB224" s="13"/>
      <c r="BD224" s="13">
        <v>2.2000000000000002</v>
      </c>
      <c r="BE224" s="13">
        <v>13</v>
      </c>
      <c r="BF224" s="13">
        <v>400</v>
      </c>
      <c r="BG224" s="13">
        <v>2</v>
      </c>
      <c r="BH224" s="14">
        <f t="shared" si="77"/>
        <v>2.2880000000000001E-2</v>
      </c>
      <c r="BI224" s="13"/>
      <c r="BJ224" s="14"/>
      <c r="BK224" s="13"/>
      <c r="BM224" s="231"/>
      <c r="BN224" s="231"/>
      <c r="BO224" s="231"/>
      <c r="BP224" s="231"/>
      <c r="BQ224" s="231"/>
      <c r="BR224" s="231"/>
      <c r="BS224" s="231"/>
      <c r="BT224" s="231"/>
      <c r="BV224" s="13">
        <v>3.5</v>
      </c>
      <c r="BW224" s="13">
        <v>25</v>
      </c>
      <c r="BX224" s="13">
        <v>400</v>
      </c>
      <c r="BY224" s="13">
        <v>1</v>
      </c>
      <c r="BZ224" s="14">
        <f t="shared" si="83"/>
        <v>3.5000000000000003E-2</v>
      </c>
      <c r="CA224" s="13"/>
      <c r="CB224" s="14"/>
      <c r="CC224" s="13"/>
      <c r="CE224" s="13">
        <v>7</v>
      </c>
      <c r="CF224" s="13">
        <v>10</v>
      </c>
      <c r="CG224" s="13">
        <v>400</v>
      </c>
      <c r="CH224" s="13">
        <v>2</v>
      </c>
      <c r="CI224" s="14">
        <f t="shared" si="72"/>
        <v>5.6000000000000001E-2</v>
      </c>
      <c r="CJ224" s="13"/>
      <c r="CK224" s="14"/>
      <c r="CL224" s="13"/>
      <c r="CN224" s="122">
        <v>3</v>
      </c>
      <c r="CO224" s="122">
        <v>5</v>
      </c>
      <c r="CP224" s="122">
        <v>400</v>
      </c>
      <c r="CQ224" s="122">
        <v>30</v>
      </c>
      <c r="CR224" s="123">
        <f t="shared" ref="CR224" si="87">CN224*CO224*CP224*CQ224/1000000</f>
        <v>0.18</v>
      </c>
      <c r="CS224" s="122">
        <f>SUM(CQ183:CQ224)</f>
        <v>472</v>
      </c>
      <c r="CT224" s="194">
        <f>SUM(CR183:CR224)</f>
        <v>13.160359999999999</v>
      </c>
      <c r="CU224" s="126" t="s">
        <v>23</v>
      </c>
      <c r="CW224" s="13">
        <v>4.5</v>
      </c>
      <c r="CX224" s="13">
        <v>10</v>
      </c>
      <c r="CY224" s="13">
        <v>400</v>
      </c>
      <c r="CZ224" s="13">
        <v>128</v>
      </c>
      <c r="DA224" s="14">
        <f t="shared" si="78"/>
        <v>2.3039999999999998</v>
      </c>
      <c r="DB224" s="13"/>
      <c r="DC224" s="14"/>
      <c r="DD224" s="41"/>
      <c r="DF224" s="13">
        <v>15</v>
      </c>
      <c r="DG224" s="13">
        <v>25</v>
      </c>
      <c r="DH224" s="61">
        <v>400</v>
      </c>
      <c r="DI224" s="13">
        <v>1</v>
      </c>
      <c r="DJ224" s="14">
        <f t="shared" si="86"/>
        <v>0.15</v>
      </c>
      <c r="DK224" s="13"/>
      <c r="DL224" s="14"/>
      <c r="DM224" s="13"/>
    </row>
    <row r="225" spans="2:117" ht="16.5" thickBot="1" x14ac:dyDescent="0.3">
      <c r="B225" s="122">
        <v>3.2</v>
      </c>
      <c r="C225" s="122">
        <v>7</v>
      </c>
      <c r="D225" s="122">
        <v>400</v>
      </c>
      <c r="E225" s="122">
        <v>44</v>
      </c>
      <c r="F225" s="132">
        <f t="shared" si="76"/>
        <v>0.39423999999999998</v>
      </c>
      <c r="G225" s="122"/>
      <c r="H225" s="123"/>
      <c r="I225" s="122"/>
      <c r="K225" s="13">
        <v>6</v>
      </c>
      <c r="L225" s="13">
        <v>12</v>
      </c>
      <c r="M225" s="13">
        <v>400</v>
      </c>
      <c r="N225" s="13">
        <v>2</v>
      </c>
      <c r="O225" s="14">
        <f t="shared" si="82"/>
        <v>5.7599999999999998E-2</v>
      </c>
      <c r="P225" s="13"/>
      <c r="Q225" s="14"/>
      <c r="R225" s="13"/>
      <c r="T225" s="13">
        <v>8</v>
      </c>
      <c r="U225" s="13">
        <v>23</v>
      </c>
      <c r="V225" s="13">
        <v>400</v>
      </c>
      <c r="W225" s="13">
        <v>1</v>
      </c>
      <c r="X225" s="14">
        <f t="shared" si="80"/>
        <v>7.3599999999999999E-2</v>
      </c>
      <c r="Y225" s="13"/>
      <c r="Z225" s="14"/>
      <c r="AA225" s="13"/>
      <c r="AC225" s="13">
        <v>15</v>
      </c>
      <c r="AD225" s="13">
        <v>29</v>
      </c>
      <c r="AE225" s="13">
        <v>400</v>
      </c>
      <c r="AF225" s="13">
        <v>1</v>
      </c>
      <c r="AG225" s="14">
        <f t="shared" si="85"/>
        <v>0.17399999999999999</v>
      </c>
      <c r="AH225" s="13"/>
      <c r="AI225" s="14"/>
      <c r="AJ225" s="13"/>
      <c r="AL225" s="13">
        <v>7</v>
      </c>
      <c r="AM225" s="13">
        <v>23</v>
      </c>
      <c r="AN225" s="13">
        <v>400</v>
      </c>
      <c r="AO225" s="13">
        <v>2</v>
      </c>
      <c r="AP225" s="14">
        <f t="shared" si="81"/>
        <v>0.1288</v>
      </c>
      <c r="AQ225" s="37"/>
      <c r="AR225" s="36"/>
      <c r="AS225" s="13"/>
      <c r="AU225" s="13">
        <v>7</v>
      </c>
      <c r="AV225" s="13">
        <v>10</v>
      </c>
      <c r="AW225" s="13">
        <v>400</v>
      </c>
      <c r="AX225" s="13">
        <v>3</v>
      </c>
      <c r="AY225" s="14">
        <f t="shared" si="63"/>
        <v>8.4000000000000005E-2</v>
      </c>
      <c r="AZ225" s="13"/>
      <c r="BA225" s="14"/>
      <c r="BB225" s="13"/>
      <c r="BD225" s="13">
        <v>3.5</v>
      </c>
      <c r="BE225" s="13">
        <v>13</v>
      </c>
      <c r="BF225" s="13">
        <v>400</v>
      </c>
      <c r="BG225" s="13">
        <v>1</v>
      </c>
      <c r="BH225" s="14">
        <f t="shared" si="77"/>
        <v>1.8200000000000001E-2</v>
      </c>
      <c r="BI225" s="13"/>
      <c r="BJ225" s="14"/>
      <c r="BK225" s="13"/>
      <c r="BM225" s="28" t="s">
        <v>18</v>
      </c>
      <c r="BN225" s="27" t="s">
        <v>45</v>
      </c>
      <c r="BO225" s="26"/>
      <c r="BP225" s="26"/>
      <c r="BQ225" s="26"/>
      <c r="BR225" s="26"/>
      <c r="BS225" s="232" t="s">
        <v>125</v>
      </c>
      <c r="BT225" s="233"/>
      <c r="BV225" s="13">
        <v>3.5</v>
      </c>
      <c r="BW225" s="13">
        <v>20</v>
      </c>
      <c r="BX225" s="13">
        <v>400</v>
      </c>
      <c r="BY225" s="13">
        <v>5</v>
      </c>
      <c r="BZ225" s="14">
        <f t="shared" si="83"/>
        <v>0.14000000000000001</v>
      </c>
      <c r="CA225" s="13"/>
      <c r="CB225" s="14"/>
      <c r="CC225" s="13"/>
      <c r="CE225" s="13">
        <v>10</v>
      </c>
      <c r="CF225" s="13">
        <v>10</v>
      </c>
      <c r="CG225" s="13">
        <v>400</v>
      </c>
      <c r="CH225" s="13">
        <v>2</v>
      </c>
      <c r="CI225" s="14">
        <f t="shared" si="72"/>
        <v>0.08</v>
      </c>
      <c r="CJ225" s="13"/>
      <c r="CK225" s="14"/>
      <c r="CL225" s="13"/>
      <c r="CN225" s="115"/>
      <c r="CO225" s="115"/>
      <c r="CP225" s="115"/>
      <c r="CQ225" s="17">
        <f>SUM(CQ170:CQ224)</f>
        <v>554</v>
      </c>
      <c r="CR225" s="32">
        <f>SUM(CR170:CR224)</f>
        <v>14.109559999999997</v>
      </c>
      <c r="CS225" s="17">
        <f>SUM(CS170:CS224)</f>
        <v>554</v>
      </c>
      <c r="CT225" s="32">
        <f>SUM(CT170:CT224)</f>
        <v>14.109559999999998</v>
      </c>
      <c r="CU225" s="146"/>
      <c r="CW225" s="13">
        <v>7</v>
      </c>
      <c r="CX225" s="13">
        <v>10</v>
      </c>
      <c r="CY225" s="13">
        <v>400</v>
      </c>
      <c r="CZ225" s="13">
        <v>7</v>
      </c>
      <c r="DA225" s="14">
        <f t="shared" si="78"/>
        <v>0.19600000000000001</v>
      </c>
      <c r="DB225" s="13"/>
      <c r="DC225" s="14"/>
      <c r="DD225" s="41"/>
      <c r="DF225" s="13">
        <v>10</v>
      </c>
      <c r="DG225" s="13">
        <v>30</v>
      </c>
      <c r="DH225" s="61">
        <v>400</v>
      </c>
      <c r="DI225" s="13">
        <v>4</v>
      </c>
      <c r="DJ225" s="14">
        <f t="shared" si="86"/>
        <v>0.48</v>
      </c>
      <c r="DK225" s="13"/>
      <c r="DL225" s="14"/>
      <c r="DM225" s="13"/>
    </row>
    <row r="226" spans="2:117" ht="16.5" thickTop="1" x14ac:dyDescent="0.25">
      <c r="B226" s="122">
        <v>3.2</v>
      </c>
      <c r="C226" s="122">
        <v>7</v>
      </c>
      <c r="D226" s="122">
        <v>400</v>
      </c>
      <c r="E226" s="122">
        <v>18</v>
      </c>
      <c r="F226" s="132">
        <f t="shared" si="76"/>
        <v>0.16128000000000001</v>
      </c>
      <c r="G226" s="122">
        <f>SUM(E223:E226)</f>
        <v>67</v>
      </c>
      <c r="H226" s="123">
        <f>SUM(F223:F226)</f>
        <v>0.63359999999999994</v>
      </c>
      <c r="I226" s="122"/>
      <c r="K226" s="13">
        <v>6</v>
      </c>
      <c r="L226" s="13">
        <v>10</v>
      </c>
      <c r="M226" s="13">
        <v>400</v>
      </c>
      <c r="N226" s="13">
        <v>1</v>
      </c>
      <c r="O226" s="14">
        <f t="shared" si="82"/>
        <v>2.4E-2</v>
      </c>
      <c r="P226" s="13">
        <f>SUM(N224:N226)</f>
        <v>32</v>
      </c>
      <c r="Q226" s="14">
        <f>SUM(O224:O226)</f>
        <v>1.1256000000000002</v>
      </c>
      <c r="R226" s="13"/>
      <c r="T226" s="13">
        <v>8</v>
      </c>
      <c r="U226" s="13">
        <v>10</v>
      </c>
      <c r="V226" s="13">
        <v>400</v>
      </c>
      <c r="W226" s="13">
        <v>1</v>
      </c>
      <c r="X226" s="14">
        <f t="shared" si="80"/>
        <v>3.2000000000000001E-2</v>
      </c>
      <c r="Y226" s="13">
        <f>SUM(W225:W226)</f>
        <v>2</v>
      </c>
      <c r="Z226" s="14">
        <f>SUM(X225:X226)</f>
        <v>0.1056</v>
      </c>
      <c r="AA226" s="13"/>
      <c r="AC226" s="13">
        <v>15</v>
      </c>
      <c r="AD226" s="13">
        <v>27</v>
      </c>
      <c r="AE226" s="13">
        <v>400</v>
      </c>
      <c r="AF226" s="13">
        <v>11</v>
      </c>
      <c r="AG226" s="14">
        <f t="shared" si="85"/>
        <v>1.782</v>
      </c>
      <c r="AH226" s="13"/>
      <c r="AI226" s="14"/>
      <c r="AJ226" s="13"/>
      <c r="AL226" s="13">
        <v>4.5</v>
      </c>
      <c r="AM226" s="13">
        <v>25</v>
      </c>
      <c r="AN226" s="13">
        <v>400</v>
      </c>
      <c r="AO226" s="13">
        <v>1</v>
      </c>
      <c r="AP226" s="14">
        <f t="shared" si="81"/>
        <v>4.4999999999999998E-2</v>
      </c>
      <c r="AQ226" s="37"/>
      <c r="AR226" s="36"/>
      <c r="AS226" s="13"/>
      <c r="AU226" s="13">
        <v>6</v>
      </c>
      <c r="AV226" s="13">
        <v>10</v>
      </c>
      <c r="AW226" s="13">
        <v>400</v>
      </c>
      <c r="AX226" s="13">
        <v>1</v>
      </c>
      <c r="AY226" s="14">
        <f t="shared" si="63"/>
        <v>2.4E-2</v>
      </c>
      <c r="AZ226" s="13"/>
      <c r="BA226" s="96"/>
      <c r="BB226" s="13"/>
      <c r="BD226" s="13">
        <v>7</v>
      </c>
      <c r="BE226" s="13">
        <v>13</v>
      </c>
      <c r="BF226" s="13">
        <v>400</v>
      </c>
      <c r="BG226" s="13">
        <v>2</v>
      </c>
      <c r="BH226" s="14">
        <f t="shared" si="77"/>
        <v>7.2800000000000004E-2</v>
      </c>
      <c r="BI226" s="13"/>
      <c r="BJ226" s="14"/>
      <c r="BK226" s="13"/>
      <c r="BM226" s="28" t="s">
        <v>16</v>
      </c>
      <c r="BN226" s="27" t="s">
        <v>44</v>
      </c>
      <c r="BO226" s="26"/>
      <c r="BP226" s="26"/>
      <c r="BQ226" s="26"/>
      <c r="BR226" s="26"/>
      <c r="BS226" s="234"/>
      <c r="BT226" s="235"/>
      <c r="BV226" s="13">
        <v>4.5</v>
      </c>
      <c r="BW226" s="13">
        <v>20</v>
      </c>
      <c r="BX226" s="13">
        <v>400</v>
      </c>
      <c r="BY226" s="13">
        <v>5</v>
      </c>
      <c r="BZ226" s="14">
        <f t="shared" si="83"/>
        <v>0.18</v>
      </c>
      <c r="CA226" s="13"/>
      <c r="CB226" s="14"/>
      <c r="CC226" s="13"/>
      <c r="CE226" s="13">
        <v>1.7</v>
      </c>
      <c r="CF226" s="13">
        <v>10</v>
      </c>
      <c r="CG226" s="13">
        <v>400</v>
      </c>
      <c r="CH226" s="13">
        <v>3</v>
      </c>
      <c r="CI226" s="14">
        <f t="shared" si="72"/>
        <v>2.0400000000000001E-2</v>
      </c>
      <c r="CJ226" s="13"/>
      <c r="CK226" s="14"/>
      <c r="CL226" s="13"/>
      <c r="CW226" s="13">
        <v>3.5</v>
      </c>
      <c r="CX226" s="13">
        <v>10</v>
      </c>
      <c r="CY226" s="13">
        <v>400</v>
      </c>
      <c r="CZ226" s="13">
        <v>24</v>
      </c>
      <c r="DA226" s="14">
        <f t="shared" si="78"/>
        <v>0.33600000000000002</v>
      </c>
      <c r="DB226" s="13"/>
      <c r="DC226" s="14"/>
      <c r="DD226" s="41"/>
      <c r="DF226" s="13">
        <v>13</v>
      </c>
      <c r="DG226" s="13">
        <v>25</v>
      </c>
      <c r="DH226" s="61">
        <v>400</v>
      </c>
      <c r="DI226" s="13">
        <v>2</v>
      </c>
      <c r="DJ226" s="14">
        <f t="shared" si="86"/>
        <v>0.26</v>
      </c>
      <c r="DK226" s="13"/>
      <c r="DL226" s="14"/>
      <c r="DM226" s="13"/>
    </row>
    <row r="227" spans="2:117" ht="15.75" x14ac:dyDescent="0.25">
      <c r="B227" s="122">
        <v>3</v>
      </c>
      <c r="C227" s="122">
        <v>5</v>
      </c>
      <c r="D227" s="122">
        <v>400</v>
      </c>
      <c r="E227" s="122">
        <v>350</v>
      </c>
      <c r="F227" s="132">
        <f t="shared" si="76"/>
        <v>2.1</v>
      </c>
      <c r="G227" s="122">
        <f>SUM(E227)</f>
        <v>350</v>
      </c>
      <c r="H227" s="123">
        <f>SUM(F227)</f>
        <v>2.1</v>
      </c>
      <c r="I227" s="122"/>
      <c r="K227" s="13">
        <v>4.5</v>
      </c>
      <c r="L227" s="13">
        <v>10</v>
      </c>
      <c r="M227" s="13">
        <v>400</v>
      </c>
      <c r="N227" s="13">
        <v>57</v>
      </c>
      <c r="O227" s="14">
        <f t="shared" si="82"/>
        <v>1.026</v>
      </c>
      <c r="P227" s="13"/>
      <c r="Q227" s="14"/>
      <c r="R227" s="13"/>
      <c r="T227" s="13">
        <v>7</v>
      </c>
      <c r="U227" s="13">
        <v>23</v>
      </c>
      <c r="V227" s="13">
        <v>400</v>
      </c>
      <c r="W227" s="13">
        <v>1</v>
      </c>
      <c r="X227" s="14">
        <f t="shared" si="80"/>
        <v>6.4399999999999999E-2</v>
      </c>
      <c r="Y227" s="13"/>
      <c r="Z227" s="14"/>
      <c r="AA227" s="13"/>
      <c r="AC227" s="13">
        <v>15</v>
      </c>
      <c r="AD227" s="13">
        <v>26</v>
      </c>
      <c r="AE227" s="13">
        <v>400</v>
      </c>
      <c r="AF227" s="13">
        <v>3</v>
      </c>
      <c r="AG227" s="14">
        <f t="shared" si="85"/>
        <v>0.46800000000000003</v>
      </c>
      <c r="AH227" s="13"/>
      <c r="AI227" s="14"/>
      <c r="AJ227" s="13"/>
      <c r="AL227" s="13">
        <v>13</v>
      </c>
      <c r="AM227" s="13">
        <v>18</v>
      </c>
      <c r="AN227" s="13">
        <v>400</v>
      </c>
      <c r="AO227" s="13">
        <v>1</v>
      </c>
      <c r="AP227" s="14">
        <f t="shared" si="81"/>
        <v>9.3600000000000003E-2</v>
      </c>
      <c r="AQ227" s="37"/>
      <c r="AR227" s="36"/>
      <c r="AS227" s="13"/>
      <c r="AU227" s="122">
        <v>5</v>
      </c>
      <c r="AV227" s="122">
        <v>7</v>
      </c>
      <c r="AW227" s="122">
        <v>400</v>
      </c>
      <c r="AX227" s="122">
        <v>120</v>
      </c>
      <c r="AY227" s="123">
        <f t="shared" si="63"/>
        <v>1.68</v>
      </c>
      <c r="AZ227" s="122">
        <f>SUM(AX196:AX227)</f>
        <v>262</v>
      </c>
      <c r="BA227" s="125">
        <f>SUM(AY196:AY227)</f>
        <v>6.9909599999999985</v>
      </c>
      <c r="BB227" s="126" t="s">
        <v>23</v>
      </c>
      <c r="BD227" s="13">
        <v>4.5</v>
      </c>
      <c r="BE227" s="13">
        <v>10</v>
      </c>
      <c r="BF227" s="13">
        <v>400</v>
      </c>
      <c r="BG227" s="13">
        <v>41</v>
      </c>
      <c r="BH227" s="14">
        <f t="shared" si="77"/>
        <v>0.73799999999999999</v>
      </c>
      <c r="BI227" s="13"/>
      <c r="BJ227" s="14"/>
      <c r="BK227" s="13"/>
      <c r="BM227" s="43"/>
      <c r="BN227" s="25"/>
      <c r="BO227" s="25"/>
      <c r="BP227" s="25"/>
      <c r="BQ227" s="25"/>
      <c r="BR227" s="225" t="s">
        <v>124</v>
      </c>
      <c r="BS227" s="225"/>
      <c r="BT227" s="225"/>
      <c r="BV227" s="13">
        <v>15</v>
      </c>
      <c r="BW227" s="13">
        <v>20</v>
      </c>
      <c r="BX227" s="13">
        <v>400</v>
      </c>
      <c r="BY227" s="13">
        <v>3</v>
      </c>
      <c r="BZ227" s="14">
        <f t="shared" si="83"/>
        <v>0.36</v>
      </c>
      <c r="CA227" s="13"/>
      <c r="CB227" s="14"/>
      <c r="CC227" s="13"/>
      <c r="CE227" s="13">
        <v>8</v>
      </c>
      <c r="CF227" s="13">
        <v>10</v>
      </c>
      <c r="CG227" s="13">
        <v>400</v>
      </c>
      <c r="CH227" s="13">
        <v>1</v>
      </c>
      <c r="CI227" s="14">
        <f t="shared" si="72"/>
        <v>3.2000000000000001E-2</v>
      </c>
      <c r="CJ227" s="13"/>
      <c r="CK227" s="14"/>
      <c r="CL227" s="13"/>
      <c r="CN227" s="231" t="s">
        <v>19</v>
      </c>
      <c r="CO227" s="231"/>
      <c r="CP227" s="231"/>
      <c r="CQ227" s="231"/>
      <c r="CR227" s="231"/>
      <c r="CS227" s="231"/>
      <c r="CT227" s="231"/>
      <c r="CU227" s="231"/>
      <c r="CW227" s="13">
        <v>2.2000000000000002</v>
      </c>
      <c r="CX227" s="13">
        <v>13</v>
      </c>
      <c r="CY227" s="13">
        <v>400</v>
      </c>
      <c r="CZ227" s="13">
        <v>13</v>
      </c>
      <c r="DA227" s="14">
        <f t="shared" si="78"/>
        <v>0.14871999999999999</v>
      </c>
      <c r="DB227" s="13"/>
      <c r="DC227" s="14"/>
      <c r="DD227" s="41"/>
      <c r="DF227" s="13">
        <v>10</v>
      </c>
      <c r="DG227" s="13">
        <v>25</v>
      </c>
      <c r="DH227" s="61">
        <v>400</v>
      </c>
      <c r="DI227" s="13">
        <v>6</v>
      </c>
      <c r="DJ227" s="14">
        <f t="shared" si="86"/>
        <v>0.6</v>
      </c>
      <c r="DK227" s="13"/>
      <c r="DL227" s="14"/>
      <c r="DM227" s="41"/>
    </row>
    <row r="228" spans="2:117" ht="16.5" thickBot="1" x14ac:dyDescent="0.3">
      <c r="B228" s="13">
        <v>2.2000000000000002</v>
      </c>
      <c r="C228" s="13">
        <v>20</v>
      </c>
      <c r="D228" s="13">
        <v>400</v>
      </c>
      <c r="E228" s="13">
        <v>23</v>
      </c>
      <c r="F228" s="20">
        <f t="shared" si="76"/>
        <v>0.40479999999999999</v>
      </c>
      <c r="G228" s="13"/>
      <c r="H228" s="14"/>
      <c r="I228" s="13"/>
      <c r="K228" s="13">
        <v>4.5</v>
      </c>
      <c r="L228" s="13">
        <v>4.2</v>
      </c>
      <c r="M228" s="13">
        <v>400</v>
      </c>
      <c r="N228" s="13">
        <v>60</v>
      </c>
      <c r="O228" s="14">
        <f t="shared" si="82"/>
        <v>0.45360000000000006</v>
      </c>
      <c r="P228" s="13">
        <f>SUM(N227:N228)</f>
        <v>117</v>
      </c>
      <c r="Q228" s="14">
        <f>SUM(O227:O228)</f>
        <v>1.4796</v>
      </c>
      <c r="R228" s="13"/>
      <c r="T228" s="13">
        <v>7</v>
      </c>
      <c r="U228" s="13">
        <v>20</v>
      </c>
      <c r="V228" s="13">
        <v>400</v>
      </c>
      <c r="W228" s="13">
        <v>3</v>
      </c>
      <c r="X228" s="14">
        <f t="shared" si="80"/>
        <v>0.16800000000000001</v>
      </c>
      <c r="Y228" s="13"/>
      <c r="Z228" s="14"/>
      <c r="AA228" s="13"/>
      <c r="AC228" s="13">
        <v>15</v>
      </c>
      <c r="AD228" s="13">
        <v>26</v>
      </c>
      <c r="AE228" s="13">
        <v>300</v>
      </c>
      <c r="AF228" s="13">
        <v>2</v>
      </c>
      <c r="AG228" s="14">
        <f t="shared" si="85"/>
        <v>0.23400000000000001</v>
      </c>
      <c r="AH228" s="13"/>
      <c r="AI228" s="14"/>
      <c r="AJ228" s="13"/>
      <c r="AL228" s="13">
        <v>4.5</v>
      </c>
      <c r="AM228" s="13">
        <v>18</v>
      </c>
      <c r="AN228" s="13">
        <v>400</v>
      </c>
      <c r="AO228" s="13">
        <v>1</v>
      </c>
      <c r="AP228" s="14">
        <f t="shared" si="81"/>
        <v>3.2399999999999998E-2</v>
      </c>
      <c r="AQ228" s="37"/>
      <c r="AR228" s="36"/>
      <c r="AS228" s="13"/>
      <c r="AU228" s="237"/>
      <c r="AV228" s="237"/>
      <c r="AW228" s="238"/>
      <c r="AX228" s="17">
        <f>SUM(AX158:AX227)</f>
        <v>626</v>
      </c>
      <c r="AY228" s="32">
        <f>SUM(AY158:AY227)</f>
        <v>12.788359999999996</v>
      </c>
      <c r="AZ228" s="17">
        <f>SUM(AZ158:AZ227)</f>
        <v>626</v>
      </c>
      <c r="BA228" s="32">
        <f>SUM(BA158:BA227)</f>
        <v>12.788359999999997</v>
      </c>
      <c r="BB228" s="17"/>
      <c r="BD228" s="13">
        <v>3.5</v>
      </c>
      <c r="BE228" s="13">
        <v>10</v>
      </c>
      <c r="BF228" s="13">
        <v>400</v>
      </c>
      <c r="BG228" s="13">
        <v>8</v>
      </c>
      <c r="BH228" s="14">
        <f t="shared" si="77"/>
        <v>0.112</v>
      </c>
      <c r="BI228" s="13"/>
      <c r="BJ228" s="14"/>
      <c r="BK228" s="13"/>
      <c r="BM228" s="226" t="s">
        <v>13</v>
      </c>
      <c r="BN228" s="227"/>
      <c r="BO228" s="228"/>
      <c r="BP228" s="227" t="s">
        <v>12</v>
      </c>
      <c r="BQ228" s="228"/>
      <c r="BR228" s="227" t="s">
        <v>12</v>
      </c>
      <c r="BS228" s="228"/>
      <c r="BT228" s="229" t="s">
        <v>11</v>
      </c>
      <c r="BV228" s="13">
        <v>2.2000000000000002</v>
      </c>
      <c r="BW228" s="13">
        <v>20</v>
      </c>
      <c r="BX228" s="13">
        <v>400</v>
      </c>
      <c r="BY228" s="13">
        <v>6</v>
      </c>
      <c r="BZ228" s="14">
        <f t="shared" si="83"/>
        <v>0.1056</v>
      </c>
      <c r="CA228" s="13"/>
      <c r="CB228" s="14"/>
      <c r="CC228" s="13"/>
      <c r="CE228" s="122">
        <v>5</v>
      </c>
      <c r="CF228" s="122">
        <v>7</v>
      </c>
      <c r="CG228" s="122">
        <v>400</v>
      </c>
      <c r="CH228" s="122">
        <v>124</v>
      </c>
      <c r="CI228" s="123">
        <f t="shared" si="72"/>
        <v>1.736</v>
      </c>
      <c r="CJ228" s="122"/>
      <c r="CK228" s="123"/>
      <c r="CL228" s="122"/>
      <c r="CN228" s="231"/>
      <c r="CO228" s="231"/>
      <c r="CP228" s="231"/>
      <c r="CQ228" s="231"/>
      <c r="CR228" s="231"/>
      <c r="CS228" s="231"/>
      <c r="CT228" s="231"/>
      <c r="CU228" s="231"/>
      <c r="CW228" s="13">
        <v>3.5</v>
      </c>
      <c r="CX228" s="13">
        <v>13</v>
      </c>
      <c r="CY228" s="13">
        <v>400</v>
      </c>
      <c r="CZ228" s="13">
        <v>6</v>
      </c>
      <c r="DA228" s="14">
        <f t="shared" si="78"/>
        <v>0.10920000000000001</v>
      </c>
      <c r="DB228" s="13"/>
      <c r="DC228" s="14"/>
      <c r="DD228" s="41"/>
      <c r="DF228" s="13">
        <v>7</v>
      </c>
      <c r="DG228" s="13">
        <v>25</v>
      </c>
      <c r="DH228" s="61">
        <v>400</v>
      </c>
      <c r="DI228" s="13">
        <v>1</v>
      </c>
      <c r="DJ228" s="14">
        <f t="shared" si="86"/>
        <v>7.0000000000000007E-2</v>
      </c>
      <c r="DK228" s="13"/>
      <c r="DL228" s="14"/>
      <c r="DM228" s="41"/>
    </row>
    <row r="229" spans="2:117" ht="16.5" thickTop="1" x14ac:dyDescent="0.25">
      <c r="B229" s="13">
        <v>2.2000000000000002</v>
      </c>
      <c r="C229" s="13">
        <v>20</v>
      </c>
      <c r="D229" s="13">
        <v>400</v>
      </c>
      <c r="E229" s="13">
        <v>15</v>
      </c>
      <c r="F229" s="20">
        <f t="shared" si="76"/>
        <v>0.26400000000000001</v>
      </c>
      <c r="G229" s="13"/>
      <c r="H229" s="14"/>
      <c r="I229" s="13"/>
      <c r="K229" s="13">
        <v>3</v>
      </c>
      <c r="L229" s="13">
        <v>15</v>
      </c>
      <c r="M229" s="13">
        <v>400</v>
      </c>
      <c r="N229" s="13">
        <v>13</v>
      </c>
      <c r="O229" s="14">
        <f t="shared" si="82"/>
        <v>0.23400000000000001</v>
      </c>
      <c r="P229" s="13"/>
      <c r="Q229" s="14"/>
      <c r="R229" s="13"/>
      <c r="T229" s="13">
        <v>7</v>
      </c>
      <c r="U229" s="13">
        <v>18</v>
      </c>
      <c r="V229" s="13">
        <v>400</v>
      </c>
      <c r="W229" s="13">
        <v>2</v>
      </c>
      <c r="X229" s="14">
        <f t="shared" si="80"/>
        <v>0.1008</v>
      </c>
      <c r="Y229" s="13"/>
      <c r="Z229" s="14"/>
      <c r="AA229" s="13"/>
      <c r="AC229" s="13">
        <v>15</v>
      </c>
      <c r="AD229" s="13">
        <v>25</v>
      </c>
      <c r="AE229" s="13">
        <v>400</v>
      </c>
      <c r="AF229" s="13">
        <v>6</v>
      </c>
      <c r="AG229" s="14">
        <f t="shared" si="85"/>
        <v>0.9</v>
      </c>
      <c r="AH229" s="13"/>
      <c r="AI229" s="14"/>
      <c r="AJ229" s="13"/>
      <c r="AL229" s="13">
        <v>4.5</v>
      </c>
      <c r="AM229" s="13">
        <v>20</v>
      </c>
      <c r="AN229" s="13">
        <v>400</v>
      </c>
      <c r="AO229" s="13">
        <v>2</v>
      </c>
      <c r="AP229" s="14">
        <f t="shared" si="81"/>
        <v>7.1999999999999995E-2</v>
      </c>
      <c r="AQ229" s="37"/>
      <c r="AR229" s="36"/>
      <c r="AS229" s="13"/>
      <c r="BD229" s="13">
        <v>2.2000000000000002</v>
      </c>
      <c r="BE229" s="13">
        <v>10</v>
      </c>
      <c r="BF229" s="13">
        <v>400</v>
      </c>
      <c r="BG229" s="13">
        <v>18</v>
      </c>
      <c r="BH229" s="14">
        <f t="shared" si="77"/>
        <v>0.15840000000000001</v>
      </c>
      <c r="BI229" s="13"/>
      <c r="BJ229" s="14"/>
      <c r="BK229" s="13"/>
      <c r="BM229" s="24" t="s">
        <v>10</v>
      </c>
      <c r="BN229" s="23" t="s">
        <v>9</v>
      </c>
      <c r="BO229" s="23" t="s">
        <v>8</v>
      </c>
      <c r="BP229" s="22" t="s">
        <v>7</v>
      </c>
      <c r="BQ229" s="21" t="s">
        <v>6</v>
      </c>
      <c r="BR229" s="22" t="s">
        <v>7</v>
      </c>
      <c r="BS229" s="21" t="s">
        <v>6</v>
      </c>
      <c r="BT229" s="230"/>
      <c r="BV229" s="13">
        <v>10</v>
      </c>
      <c r="BW229" s="13">
        <v>20</v>
      </c>
      <c r="BX229" s="13">
        <v>400</v>
      </c>
      <c r="BY229" s="13">
        <v>3</v>
      </c>
      <c r="BZ229" s="14">
        <f t="shared" si="83"/>
        <v>0.24</v>
      </c>
      <c r="CA229" s="13"/>
      <c r="CB229" s="14"/>
      <c r="CC229" s="13"/>
      <c r="CE229" s="122">
        <v>4</v>
      </c>
      <c r="CF229" s="122">
        <v>6</v>
      </c>
      <c r="CG229" s="122">
        <v>400</v>
      </c>
      <c r="CH229" s="122">
        <v>30</v>
      </c>
      <c r="CI229" s="123">
        <f>CE229*CF229*CG229*CH229/1000000</f>
        <v>0.28799999999999998</v>
      </c>
      <c r="CJ229" s="122"/>
      <c r="CK229" s="123"/>
      <c r="CL229" s="122"/>
      <c r="CN229" s="28" t="s">
        <v>18</v>
      </c>
      <c r="CO229" s="27" t="s">
        <v>172</v>
      </c>
      <c r="CP229" s="26"/>
      <c r="CQ229" s="26"/>
      <c r="CR229" s="26"/>
      <c r="CS229" s="26"/>
      <c r="CT229" s="236"/>
      <c r="CU229" s="236"/>
      <c r="CW229" s="13">
        <v>4.5</v>
      </c>
      <c r="CX229" s="13">
        <v>13</v>
      </c>
      <c r="CY229" s="13">
        <v>400</v>
      </c>
      <c r="CZ229" s="13">
        <v>10</v>
      </c>
      <c r="DA229" s="14">
        <f t="shared" si="78"/>
        <v>0.23400000000000001</v>
      </c>
      <c r="DB229" s="37"/>
      <c r="DC229" s="36"/>
      <c r="DD229" s="41"/>
      <c r="DF229" s="13">
        <v>4.5</v>
      </c>
      <c r="DG229" s="13">
        <v>25</v>
      </c>
      <c r="DH229" s="61">
        <v>400</v>
      </c>
      <c r="DI229" s="13">
        <v>2</v>
      </c>
      <c r="DJ229" s="14">
        <f t="shared" si="86"/>
        <v>0.09</v>
      </c>
      <c r="DK229" s="13"/>
      <c r="DL229" s="14"/>
      <c r="DM229" s="41"/>
    </row>
    <row r="230" spans="2:117" ht="15.75" x14ac:dyDescent="0.25">
      <c r="B230" s="13">
        <v>2.2000000000000002</v>
      </c>
      <c r="C230" s="13">
        <v>18</v>
      </c>
      <c r="D230" s="13">
        <v>400</v>
      </c>
      <c r="E230" s="13">
        <v>24</v>
      </c>
      <c r="F230" s="20">
        <f t="shared" si="76"/>
        <v>0.38016</v>
      </c>
      <c r="G230" s="13"/>
      <c r="H230" s="14"/>
      <c r="I230" s="13"/>
      <c r="K230" s="13">
        <v>3</v>
      </c>
      <c r="L230" s="13">
        <v>12.5</v>
      </c>
      <c r="M230" s="13">
        <v>400</v>
      </c>
      <c r="N230" s="13">
        <v>5</v>
      </c>
      <c r="O230" s="14">
        <f t="shared" si="82"/>
        <v>7.4999999999999997E-2</v>
      </c>
      <c r="P230" s="13"/>
      <c r="Q230" s="14"/>
      <c r="R230" s="13"/>
      <c r="T230" s="13">
        <v>7</v>
      </c>
      <c r="U230" s="13">
        <v>15</v>
      </c>
      <c r="V230" s="13">
        <v>400</v>
      </c>
      <c r="W230" s="13">
        <v>2</v>
      </c>
      <c r="X230" s="14">
        <f t="shared" si="80"/>
        <v>8.4000000000000005E-2</v>
      </c>
      <c r="Y230" s="13"/>
      <c r="Z230" s="14"/>
      <c r="AA230" s="13"/>
      <c r="AC230" s="13">
        <v>15</v>
      </c>
      <c r="AD230" s="13">
        <v>22</v>
      </c>
      <c r="AE230" s="13">
        <v>300</v>
      </c>
      <c r="AF230" s="13">
        <v>4</v>
      </c>
      <c r="AG230" s="14">
        <f t="shared" si="85"/>
        <v>0.39600000000000002</v>
      </c>
      <c r="AH230" s="13"/>
      <c r="AI230" s="14"/>
      <c r="AJ230" s="13"/>
      <c r="AL230" s="13">
        <v>8</v>
      </c>
      <c r="AM230" s="13">
        <v>20</v>
      </c>
      <c r="AN230" s="13">
        <v>400</v>
      </c>
      <c r="AO230" s="13">
        <v>1</v>
      </c>
      <c r="AP230" s="14">
        <f t="shared" si="81"/>
        <v>6.4000000000000001E-2</v>
      </c>
      <c r="AQ230" s="37"/>
      <c r="AR230" s="36"/>
      <c r="AS230" s="13"/>
      <c r="AU230" s="8" t="s">
        <v>95</v>
      </c>
      <c r="AY230" s="7" t="s">
        <v>23</v>
      </c>
      <c r="AZ230" s="6">
        <f>SUM(AZ227,AZ150,AZ83)</f>
        <v>605</v>
      </c>
      <c r="BA230" s="5">
        <f>SUM(BA227,BA150,BA83)</f>
        <v>18.940159999999999</v>
      </c>
      <c r="BD230" s="13">
        <v>8</v>
      </c>
      <c r="BE230" s="13">
        <v>10</v>
      </c>
      <c r="BF230" s="13">
        <v>400</v>
      </c>
      <c r="BG230" s="13">
        <v>2</v>
      </c>
      <c r="BH230" s="14">
        <f t="shared" si="77"/>
        <v>6.4000000000000001E-2</v>
      </c>
      <c r="BI230" s="13"/>
      <c r="BJ230" s="14"/>
      <c r="BK230" s="13"/>
      <c r="BM230" s="13">
        <v>15</v>
      </c>
      <c r="BN230" s="13">
        <v>30</v>
      </c>
      <c r="BO230" s="13">
        <v>400</v>
      </c>
      <c r="BP230" s="13">
        <v>1</v>
      </c>
      <c r="BQ230" s="14">
        <f t="shared" ref="BQ230:BQ271" si="88">BM230*BN230*BO230*BP230/1000000</f>
        <v>0.18</v>
      </c>
      <c r="BR230" s="13"/>
      <c r="BS230" s="14"/>
      <c r="BT230" s="13"/>
      <c r="BV230" s="13">
        <v>15</v>
      </c>
      <c r="BW230" s="13">
        <v>15</v>
      </c>
      <c r="BX230" s="13">
        <v>400</v>
      </c>
      <c r="BY230" s="13">
        <v>2</v>
      </c>
      <c r="BZ230" s="14">
        <f t="shared" si="83"/>
        <v>0.18</v>
      </c>
      <c r="CA230" s="13"/>
      <c r="CB230" s="14"/>
      <c r="CC230" s="13"/>
      <c r="CE230" s="122">
        <v>3</v>
      </c>
      <c r="CF230" s="122">
        <v>5</v>
      </c>
      <c r="CG230" s="122">
        <v>400</v>
      </c>
      <c r="CH230" s="122">
        <v>160</v>
      </c>
      <c r="CI230" s="123">
        <f>CE230*CF230*CG230*CH230/1000000</f>
        <v>0.96</v>
      </c>
      <c r="CJ230" s="122"/>
      <c r="CK230" s="123"/>
      <c r="CL230" s="122"/>
      <c r="CN230" s="28" t="s">
        <v>16</v>
      </c>
      <c r="CO230" s="27" t="s">
        <v>15</v>
      </c>
      <c r="CP230" s="26"/>
      <c r="CQ230" s="26"/>
      <c r="CR230" s="26"/>
      <c r="CS230" s="26"/>
      <c r="CT230" s="236"/>
      <c r="CU230" s="236"/>
      <c r="CW230" s="13">
        <v>10</v>
      </c>
      <c r="CX230" s="13">
        <v>13</v>
      </c>
      <c r="CY230" s="13">
        <v>400</v>
      </c>
      <c r="CZ230" s="13">
        <v>2</v>
      </c>
      <c r="DA230" s="14">
        <f t="shared" si="78"/>
        <v>0.104</v>
      </c>
      <c r="DB230" s="37"/>
      <c r="DC230" s="36"/>
      <c r="DD230" s="41"/>
      <c r="DF230" s="13">
        <v>2.2000000000000002</v>
      </c>
      <c r="DG230" s="13">
        <v>25</v>
      </c>
      <c r="DH230" s="61">
        <v>400</v>
      </c>
      <c r="DI230" s="13">
        <v>1</v>
      </c>
      <c r="DJ230" s="14">
        <f t="shared" si="86"/>
        <v>2.2000000000000002E-2</v>
      </c>
      <c r="DK230" s="13"/>
      <c r="DL230" s="14"/>
      <c r="DM230" s="41"/>
    </row>
    <row r="231" spans="2:117" ht="15.75" x14ac:dyDescent="0.25">
      <c r="B231" s="13">
        <v>2.2000000000000002</v>
      </c>
      <c r="C231" s="13">
        <v>18</v>
      </c>
      <c r="D231" s="13">
        <v>400</v>
      </c>
      <c r="E231" s="13">
        <v>4</v>
      </c>
      <c r="F231" s="20">
        <f t="shared" si="76"/>
        <v>6.336E-2</v>
      </c>
      <c r="G231" s="13"/>
      <c r="H231" s="14"/>
      <c r="I231" s="13"/>
      <c r="K231" s="13">
        <v>3</v>
      </c>
      <c r="L231" s="13">
        <v>12.5</v>
      </c>
      <c r="M231" s="13">
        <v>300</v>
      </c>
      <c r="N231" s="13">
        <v>6</v>
      </c>
      <c r="O231" s="14">
        <f t="shared" si="82"/>
        <v>6.7500000000000004E-2</v>
      </c>
      <c r="P231" s="13"/>
      <c r="Q231" s="14"/>
      <c r="R231" s="13"/>
      <c r="T231" s="13">
        <v>7</v>
      </c>
      <c r="U231" s="13">
        <v>10</v>
      </c>
      <c r="V231" s="13">
        <v>400</v>
      </c>
      <c r="W231" s="13">
        <v>9</v>
      </c>
      <c r="X231" s="14">
        <f t="shared" si="80"/>
        <v>0.252</v>
      </c>
      <c r="Y231" s="13">
        <f>SUM(W227:W231)</f>
        <v>17</v>
      </c>
      <c r="Z231" s="14">
        <f>SUM(X227:X231)</f>
        <v>0.66920000000000002</v>
      </c>
      <c r="AA231" s="13"/>
      <c r="AC231" s="13">
        <v>15</v>
      </c>
      <c r="AD231" s="13">
        <v>21</v>
      </c>
      <c r="AE231" s="13">
        <v>400</v>
      </c>
      <c r="AF231" s="13">
        <v>1</v>
      </c>
      <c r="AG231" s="14">
        <f t="shared" si="85"/>
        <v>0.126</v>
      </c>
      <c r="AH231" s="13"/>
      <c r="AI231" s="14"/>
      <c r="AJ231" s="13"/>
      <c r="AL231" s="13">
        <v>2.2000000000000002</v>
      </c>
      <c r="AM231" s="13">
        <v>25</v>
      </c>
      <c r="AN231" s="13">
        <v>400</v>
      </c>
      <c r="AO231" s="13">
        <v>1</v>
      </c>
      <c r="AP231" s="14">
        <f t="shared" si="81"/>
        <v>2.2000000000000002E-2</v>
      </c>
      <c r="AQ231" s="37"/>
      <c r="AR231" s="36"/>
      <c r="AS231" s="13"/>
      <c r="AU231" s="4" t="s">
        <v>24</v>
      </c>
      <c r="AV231" s="4"/>
      <c r="AW231" s="6">
        <f>SUM(AX84)</f>
        <v>274</v>
      </c>
      <c r="AX231" s="5">
        <f>SUM(AY84)</f>
        <v>12.052000000000003</v>
      </c>
      <c r="AY231" s="7" t="s">
        <v>21</v>
      </c>
      <c r="AZ231" s="6">
        <f>SUM(AZ195,AZ117,AZ112,AZ56,)</f>
        <v>1153</v>
      </c>
      <c r="BA231" s="5">
        <f>SUM(BA195,BA117,BA112,BA56,)</f>
        <v>16.9192</v>
      </c>
      <c r="BD231" s="13">
        <v>1.7</v>
      </c>
      <c r="BE231" s="13">
        <v>10</v>
      </c>
      <c r="BF231" s="13">
        <v>400</v>
      </c>
      <c r="BG231" s="13">
        <v>1</v>
      </c>
      <c r="BH231" s="14">
        <f t="shared" si="77"/>
        <v>6.7999999999999996E-3</v>
      </c>
      <c r="BI231" s="13"/>
      <c r="BJ231" s="14"/>
      <c r="BK231" s="13"/>
      <c r="BM231" s="13">
        <v>13</v>
      </c>
      <c r="BN231" s="13">
        <v>30</v>
      </c>
      <c r="BO231" s="13">
        <v>400</v>
      </c>
      <c r="BP231" s="13">
        <v>1</v>
      </c>
      <c r="BQ231" s="14">
        <f t="shared" si="88"/>
        <v>0.156</v>
      </c>
      <c r="BR231" s="13"/>
      <c r="BS231" s="14"/>
      <c r="BT231" s="13"/>
      <c r="BV231" s="13">
        <v>7</v>
      </c>
      <c r="BW231" s="13">
        <v>15</v>
      </c>
      <c r="BX231" s="13">
        <v>400</v>
      </c>
      <c r="BY231" s="13">
        <v>7</v>
      </c>
      <c r="BZ231" s="14">
        <f t="shared" si="83"/>
        <v>0.29399999999999998</v>
      </c>
      <c r="CA231" s="13"/>
      <c r="CB231" s="14"/>
      <c r="CC231" s="13"/>
      <c r="CE231" s="122">
        <v>2</v>
      </c>
      <c r="CF231" s="122">
        <v>3</v>
      </c>
      <c r="CG231" s="122">
        <v>400</v>
      </c>
      <c r="CH231" s="122">
        <v>100</v>
      </c>
      <c r="CI231" s="123">
        <f>CE231*CF231*CG231*CH231/1000000</f>
        <v>0.24</v>
      </c>
      <c r="CJ231" s="122"/>
      <c r="CK231" s="123"/>
      <c r="CL231" s="122"/>
      <c r="CN231" s="43"/>
      <c r="CO231" s="25"/>
      <c r="CP231" s="25"/>
      <c r="CQ231" s="25"/>
      <c r="CR231" s="25"/>
      <c r="CS231" s="225" t="s">
        <v>171</v>
      </c>
      <c r="CT231" s="225"/>
      <c r="CU231" s="225"/>
      <c r="CW231" s="13">
        <v>10</v>
      </c>
      <c r="CX231" s="13">
        <v>10</v>
      </c>
      <c r="CY231" s="13">
        <v>400</v>
      </c>
      <c r="CZ231" s="13">
        <v>1</v>
      </c>
      <c r="DA231" s="14">
        <f t="shared" si="78"/>
        <v>0.04</v>
      </c>
      <c r="DB231" s="37"/>
      <c r="DC231" s="36"/>
      <c r="DD231" s="41"/>
      <c r="DF231" s="13">
        <v>13</v>
      </c>
      <c r="DG231" s="13">
        <v>20</v>
      </c>
      <c r="DH231" s="61">
        <v>400</v>
      </c>
      <c r="DI231" s="13">
        <v>7</v>
      </c>
      <c r="DJ231" s="14">
        <f t="shared" si="86"/>
        <v>0.72799999999999998</v>
      </c>
      <c r="DK231" s="13"/>
      <c r="DL231" s="14"/>
      <c r="DM231" s="41"/>
    </row>
    <row r="232" spans="2:117" ht="16.5" thickBot="1" x14ac:dyDescent="0.3">
      <c r="B232" s="13">
        <v>2.2000000000000002</v>
      </c>
      <c r="C232" s="13">
        <v>15</v>
      </c>
      <c r="D232" s="13">
        <v>400</v>
      </c>
      <c r="E232" s="13">
        <v>35</v>
      </c>
      <c r="F232" s="20">
        <f t="shared" si="76"/>
        <v>0.46200000000000002</v>
      </c>
      <c r="G232" s="13"/>
      <c r="H232" s="14"/>
      <c r="I232" s="13"/>
      <c r="K232" s="157">
        <v>3</v>
      </c>
      <c r="L232" s="157">
        <v>5</v>
      </c>
      <c r="M232" s="157">
        <v>400</v>
      </c>
      <c r="N232" s="157">
        <v>80</v>
      </c>
      <c r="O232" s="158">
        <f t="shared" si="82"/>
        <v>0.48</v>
      </c>
      <c r="P232" s="157">
        <f>SUM(N229:N232)</f>
        <v>104</v>
      </c>
      <c r="Q232" s="158">
        <f>SUM(O229:O232)</f>
        <v>0.85650000000000004</v>
      </c>
      <c r="R232" s="157"/>
      <c r="T232" s="13">
        <v>4.5</v>
      </c>
      <c r="U232" s="13">
        <v>20</v>
      </c>
      <c r="V232" s="13">
        <v>400</v>
      </c>
      <c r="W232" s="13">
        <v>4</v>
      </c>
      <c r="X232" s="14">
        <f t="shared" si="80"/>
        <v>0.14399999999999999</v>
      </c>
      <c r="Y232" s="13"/>
      <c r="Z232" s="14"/>
      <c r="AA232" s="13"/>
      <c r="AC232" s="13">
        <v>15</v>
      </c>
      <c r="AD232" s="13">
        <v>20</v>
      </c>
      <c r="AE232" s="13">
        <v>400</v>
      </c>
      <c r="AF232" s="13">
        <v>6</v>
      </c>
      <c r="AG232" s="14">
        <f t="shared" si="85"/>
        <v>0.72</v>
      </c>
      <c r="AH232" s="13"/>
      <c r="AI232" s="14"/>
      <c r="AJ232" s="13"/>
      <c r="AL232" s="13">
        <v>4.5</v>
      </c>
      <c r="AM232" s="13">
        <v>15</v>
      </c>
      <c r="AN232" s="13">
        <v>400</v>
      </c>
      <c r="AO232" s="13">
        <v>4</v>
      </c>
      <c r="AP232" s="14">
        <f t="shared" si="81"/>
        <v>0.108</v>
      </c>
      <c r="AQ232" s="37"/>
      <c r="AR232" s="36"/>
      <c r="AS232" s="13"/>
      <c r="AU232" s="4" t="s">
        <v>22</v>
      </c>
      <c r="AV232" s="4"/>
      <c r="AW232" s="6">
        <f>SUM(AX151)</f>
        <v>858</v>
      </c>
      <c r="AX232" s="5">
        <f>SUM(AY151)</f>
        <v>11.018999999999995</v>
      </c>
      <c r="AY232" s="4"/>
      <c r="AZ232" s="3">
        <f>SUM(AZ230:AZ231)</f>
        <v>1758</v>
      </c>
      <c r="BA232" s="53">
        <f>SUM(BA230:BA231)</f>
        <v>35.859359999999995</v>
      </c>
      <c r="BD232" s="13">
        <v>7</v>
      </c>
      <c r="BE232" s="13">
        <v>10</v>
      </c>
      <c r="BF232" s="13">
        <v>400</v>
      </c>
      <c r="BG232" s="13">
        <v>3</v>
      </c>
      <c r="BH232" s="14">
        <f t="shared" si="77"/>
        <v>8.4000000000000005E-2</v>
      </c>
      <c r="BI232" s="13"/>
      <c r="BJ232" s="14"/>
      <c r="BK232" s="13"/>
      <c r="BM232" s="13">
        <v>10</v>
      </c>
      <c r="BN232" s="13">
        <v>30</v>
      </c>
      <c r="BO232" s="13">
        <v>400</v>
      </c>
      <c r="BP232" s="13">
        <v>2</v>
      </c>
      <c r="BQ232" s="14">
        <f t="shared" si="88"/>
        <v>0.24</v>
      </c>
      <c r="BR232" s="13"/>
      <c r="BS232" s="14"/>
      <c r="BT232" s="13"/>
      <c r="BV232" s="13">
        <v>3.5</v>
      </c>
      <c r="BW232" s="13">
        <v>15</v>
      </c>
      <c r="BX232" s="13">
        <v>400</v>
      </c>
      <c r="BY232" s="13">
        <v>2</v>
      </c>
      <c r="BZ232" s="14">
        <f t="shared" si="83"/>
        <v>4.2000000000000003E-2</v>
      </c>
      <c r="CA232" s="13"/>
      <c r="CB232" s="14"/>
      <c r="CC232" s="13"/>
      <c r="CE232" s="13">
        <v>3.5</v>
      </c>
      <c r="CF232" s="13">
        <v>15</v>
      </c>
      <c r="CG232" s="13">
        <v>300</v>
      </c>
      <c r="CH232" s="13">
        <v>1</v>
      </c>
      <c r="CI232" s="14">
        <f t="shared" si="72"/>
        <v>1.575E-2</v>
      </c>
      <c r="CJ232" s="13"/>
      <c r="CK232" s="14"/>
      <c r="CL232" s="13"/>
      <c r="CN232" s="226" t="s">
        <v>13</v>
      </c>
      <c r="CO232" s="227"/>
      <c r="CP232" s="228"/>
      <c r="CQ232" s="227" t="s">
        <v>12</v>
      </c>
      <c r="CR232" s="228"/>
      <c r="CS232" s="227" t="s">
        <v>12</v>
      </c>
      <c r="CT232" s="228"/>
      <c r="CU232" s="229" t="s">
        <v>11</v>
      </c>
      <c r="CW232" s="13">
        <v>15</v>
      </c>
      <c r="CX232" s="13">
        <v>25</v>
      </c>
      <c r="CY232" s="13">
        <v>400</v>
      </c>
      <c r="CZ232" s="13">
        <v>1</v>
      </c>
      <c r="DA232" s="14">
        <f t="shared" si="78"/>
        <v>0.15</v>
      </c>
      <c r="DB232" s="37"/>
      <c r="DC232" s="36"/>
      <c r="DD232" s="41"/>
      <c r="DF232" s="13">
        <v>10</v>
      </c>
      <c r="DG232" s="13">
        <v>20</v>
      </c>
      <c r="DH232" s="61">
        <v>400</v>
      </c>
      <c r="DI232" s="13">
        <v>18</v>
      </c>
      <c r="DJ232" s="14">
        <f t="shared" si="86"/>
        <v>1.44</v>
      </c>
      <c r="DK232" s="13"/>
      <c r="DL232" s="14"/>
      <c r="DM232" s="41"/>
    </row>
    <row r="233" spans="2:117" ht="16.5" thickTop="1" x14ac:dyDescent="0.25">
      <c r="B233" s="13">
        <v>2.2000000000000002</v>
      </c>
      <c r="C233" s="13">
        <v>15</v>
      </c>
      <c r="D233" s="13">
        <v>400</v>
      </c>
      <c r="E233" s="13">
        <v>7</v>
      </c>
      <c r="F233" s="20">
        <f t="shared" si="76"/>
        <v>9.2399999999999996E-2</v>
      </c>
      <c r="G233" s="13"/>
      <c r="H233" s="14"/>
      <c r="I233" s="13"/>
      <c r="K233" s="13">
        <v>2</v>
      </c>
      <c r="L233" s="13">
        <v>10</v>
      </c>
      <c r="M233" s="13">
        <v>400</v>
      </c>
      <c r="N233" s="13">
        <v>141</v>
      </c>
      <c r="O233" s="20">
        <f t="shared" si="82"/>
        <v>1.1279999999999999</v>
      </c>
      <c r="P233" s="13"/>
      <c r="Q233" s="20"/>
      <c r="R233" s="13"/>
      <c r="T233" s="13">
        <v>4.5</v>
      </c>
      <c r="U233" s="13">
        <v>15</v>
      </c>
      <c r="V233" s="13">
        <v>400</v>
      </c>
      <c r="W233" s="13">
        <v>5</v>
      </c>
      <c r="X233" s="14">
        <f t="shared" si="80"/>
        <v>0.13500000000000001</v>
      </c>
      <c r="Y233" s="13"/>
      <c r="Z233" s="14"/>
      <c r="AA233" s="13"/>
      <c r="AC233" s="13">
        <v>15</v>
      </c>
      <c r="AD233" s="13">
        <v>20</v>
      </c>
      <c r="AE233" s="13">
        <v>300</v>
      </c>
      <c r="AF233" s="13">
        <v>2</v>
      </c>
      <c r="AG233" s="14">
        <f t="shared" si="85"/>
        <v>0.18</v>
      </c>
      <c r="AH233" s="13"/>
      <c r="AI233" s="14"/>
      <c r="AJ233" s="13"/>
      <c r="AL233" s="13">
        <v>10</v>
      </c>
      <c r="AM233" s="13">
        <v>13</v>
      </c>
      <c r="AN233" s="13">
        <v>400</v>
      </c>
      <c r="AO233" s="13">
        <v>1</v>
      </c>
      <c r="AP233" s="14">
        <f t="shared" si="81"/>
        <v>5.1999999999999998E-2</v>
      </c>
      <c r="AQ233" s="37"/>
      <c r="AR233" s="36"/>
      <c r="AS233" s="13"/>
      <c r="AU233" s="4" t="s">
        <v>20</v>
      </c>
      <c r="AV233" s="4"/>
      <c r="AW233" s="6">
        <f>SUM(AX228)</f>
        <v>626</v>
      </c>
      <c r="AX233" s="5">
        <f>SUM(AY228)</f>
        <v>12.788359999999996</v>
      </c>
      <c r="BD233" s="122">
        <v>5</v>
      </c>
      <c r="BE233" s="122">
        <v>7</v>
      </c>
      <c r="BF233" s="122">
        <v>400</v>
      </c>
      <c r="BG233" s="122">
        <v>144</v>
      </c>
      <c r="BH233" s="123">
        <f t="shared" si="77"/>
        <v>2.016</v>
      </c>
      <c r="BI233" s="122"/>
      <c r="BJ233" s="123"/>
      <c r="BK233" s="122"/>
      <c r="BM233" s="13">
        <v>7</v>
      </c>
      <c r="BN233" s="13">
        <v>30</v>
      </c>
      <c r="BO233" s="13">
        <v>400</v>
      </c>
      <c r="BP233" s="13">
        <v>1</v>
      </c>
      <c r="BQ233" s="14">
        <f t="shared" si="88"/>
        <v>8.4000000000000005E-2</v>
      </c>
      <c r="BR233" s="13"/>
      <c r="BS233" s="14"/>
      <c r="BT233" s="13"/>
      <c r="BV233" s="13">
        <v>4.5</v>
      </c>
      <c r="BW233" s="13">
        <v>15</v>
      </c>
      <c r="BX233" s="13">
        <v>400</v>
      </c>
      <c r="BY233" s="13">
        <v>8</v>
      </c>
      <c r="BZ233" s="14">
        <f t="shared" si="83"/>
        <v>0.216</v>
      </c>
      <c r="CA233" s="13"/>
      <c r="CB233" s="14"/>
      <c r="CC233" s="13"/>
      <c r="CE233" s="13">
        <v>4.5</v>
      </c>
      <c r="CF233" s="13">
        <v>15</v>
      </c>
      <c r="CG233" s="13">
        <v>300</v>
      </c>
      <c r="CH233" s="13">
        <v>4</v>
      </c>
      <c r="CI233" s="14">
        <f t="shared" si="72"/>
        <v>8.1000000000000003E-2</v>
      </c>
      <c r="CJ233" s="13"/>
      <c r="CK233" s="14"/>
      <c r="CL233" s="13"/>
      <c r="CN233" s="24" t="s">
        <v>10</v>
      </c>
      <c r="CO233" s="23" t="s">
        <v>9</v>
      </c>
      <c r="CP233" s="23" t="s">
        <v>8</v>
      </c>
      <c r="CQ233" s="22" t="s">
        <v>7</v>
      </c>
      <c r="CR233" s="21" t="s">
        <v>6</v>
      </c>
      <c r="CS233" s="22" t="s">
        <v>7</v>
      </c>
      <c r="CT233" s="21" t="s">
        <v>6</v>
      </c>
      <c r="CU233" s="230"/>
      <c r="CW233" s="13">
        <v>15</v>
      </c>
      <c r="CX233" s="13">
        <v>30</v>
      </c>
      <c r="CY233" s="13">
        <v>400</v>
      </c>
      <c r="CZ233" s="13">
        <v>1</v>
      </c>
      <c r="DA233" s="14">
        <f t="shared" si="78"/>
        <v>0.18</v>
      </c>
      <c r="DB233" s="37"/>
      <c r="DC233" s="36"/>
      <c r="DD233" s="41"/>
      <c r="DF233" s="13">
        <v>7</v>
      </c>
      <c r="DG233" s="13">
        <v>20</v>
      </c>
      <c r="DH233" s="61">
        <v>400</v>
      </c>
      <c r="DI233" s="13">
        <v>6</v>
      </c>
      <c r="DJ233" s="14">
        <f t="shared" si="86"/>
        <v>0.33600000000000002</v>
      </c>
      <c r="DK233" s="13"/>
      <c r="DL233" s="14"/>
      <c r="DM233" s="41"/>
    </row>
    <row r="234" spans="2:117" ht="16.5" thickBot="1" x14ac:dyDescent="0.3">
      <c r="B234" s="13">
        <v>2.2000000000000002</v>
      </c>
      <c r="C234" s="13">
        <v>13</v>
      </c>
      <c r="D234" s="13">
        <v>400</v>
      </c>
      <c r="E234" s="13">
        <v>2</v>
      </c>
      <c r="F234" s="20">
        <f t="shared" si="76"/>
        <v>2.2880000000000001E-2</v>
      </c>
      <c r="G234" s="13"/>
      <c r="H234" s="14"/>
      <c r="I234" s="13"/>
      <c r="K234" s="13">
        <v>2</v>
      </c>
      <c r="L234" s="13">
        <v>10</v>
      </c>
      <c r="M234" s="13">
        <v>300</v>
      </c>
      <c r="N234" s="13">
        <v>16</v>
      </c>
      <c r="O234" s="20">
        <f t="shared" si="82"/>
        <v>9.6000000000000002E-2</v>
      </c>
      <c r="P234" s="13">
        <f>SUM(N233:N234)</f>
        <v>157</v>
      </c>
      <c r="Q234" s="20">
        <f>SUM(O233:O234)</f>
        <v>1.224</v>
      </c>
      <c r="R234" s="13"/>
      <c r="T234" s="13">
        <v>4.5</v>
      </c>
      <c r="U234" s="13">
        <v>13</v>
      </c>
      <c r="V234" s="13">
        <v>400</v>
      </c>
      <c r="W234" s="13">
        <v>2</v>
      </c>
      <c r="X234" s="14">
        <f t="shared" si="80"/>
        <v>4.6800000000000001E-2</v>
      </c>
      <c r="Y234" s="13"/>
      <c r="Z234" s="14"/>
      <c r="AA234" s="13"/>
      <c r="AC234" s="13">
        <v>15</v>
      </c>
      <c r="AD234" s="13">
        <v>15</v>
      </c>
      <c r="AE234" s="13">
        <v>400</v>
      </c>
      <c r="AF234" s="13">
        <v>4</v>
      </c>
      <c r="AG234" s="14">
        <f t="shared" si="85"/>
        <v>0.36</v>
      </c>
      <c r="AH234" s="13">
        <f>SUM(AF221:AF234)</f>
        <v>48</v>
      </c>
      <c r="AI234" s="14">
        <f>SUM(AG221:AG234)</f>
        <v>6.6795</v>
      </c>
      <c r="AJ234" s="13"/>
      <c r="AL234" s="13">
        <v>13</v>
      </c>
      <c r="AM234" s="13">
        <v>13</v>
      </c>
      <c r="AN234" s="13">
        <v>400</v>
      </c>
      <c r="AO234" s="13">
        <v>1</v>
      </c>
      <c r="AP234" s="14">
        <f t="shared" si="81"/>
        <v>6.7599999999999993E-2</v>
      </c>
      <c r="AQ234" s="37"/>
      <c r="AR234" s="36"/>
      <c r="AS234" s="13"/>
      <c r="AU234" s="4"/>
      <c r="AV234" s="4"/>
      <c r="AW234" s="30">
        <f>SUM(AW231:AW233)</f>
        <v>1758</v>
      </c>
      <c r="AX234" s="29">
        <f>SUM(AX231:AX233)</f>
        <v>35.859359999999995</v>
      </c>
      <c r="AY234" s="166" t="s">
        <v>120</v>
      </c>
      <c r="AZ234" s="4"/>
      <c r="BA234" s="4"/>
      <c r="BD234" s="122">
        <v>4</v>
      </c>
      <c r="BE234" s="122">
        <v>6</v>
      </c>
      <c r="BF234" s="122">
        <v>400</v>
      </c>
      <c r="BG234" s="122">
        <v>126</v>
      </c>
      <c r="BH234" s="123">
        <f t="shared" si="77"/>
        <v>1.2096</v>
      </c>
      <c r="BI234" s="122"/>
      <c r="BJ234" s="123"/>
      <c r="BK234" s="122"/>
      <c r="BM234" s="13">
        <v>15</v>
      </c>
      <c r="BN234" s="13">
        <v>33</v>
      </c>
      <c r="BO234" s="13">
        <v>400</v>
      </c>
      <c r="BP234" s="13">
        <v>1</v>
      </c>
      <c r="BQ234" s="14">
        <f t="shared" si="88"/>
        <v>0.19800000000000001</v>
      </c>
      <c r="BR234" s="13"/>
      <c r="BS234" s="14"/>
      <c r="BT234" s="13"/>
      <c r="BV234" s="13">
        <v>2.2000000000000002</v>
      </c>
      <c r="BW234" s="13">
        <v>15</v>
      </c>
      <c r="BX234" s="13">
        <v>400</v>
      </c>
      <c r="BY234" s="13">
        <v>5</v>
      </c>
      <c r="BZ234" s="14">
        <f t="shared" si="83"/>
        <v>6.6000000000000003E-2</v>
      </c>
      <c r="CA234" s="13"/>
      <c r="CB234" s="14"/>
      <c r="CC234" s="13"/>
      <c r="CE234" s="122">
        <v>3</v>
      </c>
      <c r="CF234" s="122">
        <v>5</v>
      </c>
      <c r="CG234" s="122">
        <v>300</v>
      </c>
      <c r="CH234" s="122">
        <v>20</v>
      </c>
      <c r="CI234" s="123">
        <f t="shared" si="72"/>
        <v>0.09</v>
      </c>
      <c r="CJ234" s="133">
        <f>SUM(CH188:CH234)</f>
        <v>647</v>
      </c>
      <c r="CK234" s="134">
        <f>SUM(CI188:CI234)</f>
        <v>12.555910000000003</v>
      </c>
      <c r="CL234" s="126" t="s">
        <v>23</v>
      </c>
      <c r="CN234" s="13">
        <v>12.5</v>
      </c>
      <c r="CO234" s="13">
        <v>30</v>
      </c>
      <c r="CP234" s="13">
        <v>400</v>
      </c>
      <c r="CQ234" s="13">
        <v>1</v>
      </c>
      <c r="CR234" s="14">
        <f t="shared" ref="CR234:CR272" si="89">CN234*CO234*CP234*CQ234/1000000</f>
        <v>0.15</v>
      </c>
      <c r="CS234" s="13"/>
      <c r="CT234" s="14"/>
      <c r="CU234" s="13"/>
      <c r="CW234" s="13">
        <v>13</v>
      </c>
      <c r="CX234" s="13">
        <v>30</v>
      </c>
      <c r="CY234" s="13">
        <v>400</v>
      </c>
      <c r="CZ234" s="13">
        <v>1</v>
      </c>
      <c r="DA234" s="14">
        <f t="shared" si="78"/>
        <v>0.156</v>
      </c>
      <c r="DB234" s="37"/>
      <c r="DC234" s="36"/>
      <c r="DD234" s="41"/>
      <c r="DF234" s="13">
        <v>4.5</v>
      </c>
      <c r="DG234" s="13">
        <v>20</v>
      </c>
      <c r="DH234" s="61">
        <v>400</v>
      </c>
      <c r="DI234" s="13">
        <v>8</v>
      </c>
      <c r="DJ234" s="14">
        <f t="shared" si="86"/>
        <v>0.28799999999999998</v>
      </c>
      <c r="DK234" s="13"/>
      <c r="DL234" s="14"/>
      <c r="DM234" s="41"/>
    </row>
    <row r="235" spans="2:117" ht="17.25" thickTop="1" thickBot="1" x14ac:dyDescent="0.3">
      <c r="B235" s="13">
        <v>2.2000000000000002</v>
      </c>
      <c r="C235" s="13">
        <v>13</v>
      </c>
      <c r="D235" s="13">
        <v>400</v>
      </c>
      <c r="E235" s="13">
        <v>2</v>
      </c>
      <c r="F235" s="20">
        <f t="shared" si="76"/>
        <v>2.2880000000000001E-2</v>
      </c>
      <c r="G235" s="13"/>
      <c r="H235" s="14"/>
      <c r="I235" s="13"/>
      <c r="K235" s="243" t="s">
        <v>53</v>
      </c>
      <c r="L235" s="243"/>
      <c r="M235" s="244"/>
      <c r="N235" s="17">
        <f>SUM(N216:N234)</f>
        <v>495</v>
      </c>
      <c r="O235" s="32">
        <f>SUM(O216:O234)</f>
        <v>10.4291</v>
      </c>
      <c r="P235" s="17">
        <f>SUM(P216:P234)</f>
        <v>495</v>
      </c>
      <c r="Q235" s="32">
        <f>SUM(Q216:Q234)</f>
        <v>10.429100000000002</v>
      </c>
      <c r="R235" s="17"/>
      <c r="T235" s="13">
        <v>4.5</v>
      </c>
      <c r="U235" s="13">
        <v>10</v>
      </c>
      <c r="V235" s="13">
        <v>400</v>
      </c>
      <c r="W235" s="13">
        <v>160</v>
      </c>
      <c r="X235" s="14">
        <f t="shared" si="80"/>
        <v>2.88</v>
      </c>
      <c r="Y235" s="13">
        <f>SUM(W232:W235)</f>
        <v>171</v>
      </c>
      <c r="Z235" s="14">
        <f>SUM(X232:X235)</f>
        <v>3.2058</v>
      </c>
      <c r="AA235" s="13"/>
      <c r="AC235" s="13">
        <v>12</v>
      </c>
      <c r="AD235" s="13">
        <v>15</v>
      </c>
      <c r="AE235" s="13">
        <v>400</v>
      </c>
      <c r="AF235" s="13">
        <v>4</v>
      </c>
      <c r="AG235" s="14">
        <f t="shared" si="85"/>
        <v>0.28799999999999998</v>
      </c>
      <c r="AH235" s="13"/>
      <c r="AI235" s="14"/>
      <c r="AJ235" s="13"/>
      <c r="AL235" s="13">
        <v>8</v>
      </c>
      <c r="AM235" s="13">
        <v>13</v>
      </c>
      <c r="AN235" s="13">
        <v>400</v>
      </c>
      <c r="AO235" s="13">
        <v>1</v>
      </c>
      <c r="AP235" s="14">
        <f t="shared" si="81"/>
        <v>4.1599999999999998E-2</v>
      </c>
      <c r="AQ235" s="37"/>
      <c r="AR235" s="36"/>
      <c r="AS235" s="13"/>
      <c r="AY235" s="7" t="s">
        <v>118</v>
      </c>
      <c r="AZ235" s="6">
        <f>SUM(AX227,AX149:AX150,)</f>
        <v>184</v>
      </c>
      <c r="BA235" s="5">
        <f>SUM(AY227,AY149:AY150,)</f>
        <v>2.3119999999999998</v>
      </c>
      <c r="BD235" s="122">
        <v>3</v>
      </c>
      <c r="BE235" s="122">
        <v>5</v>
      </c>
      <c r="BF235" s="122">
        <v>400</v>
      </c>
      <c r="BG235" s="122">
        <v>430</v>
      </c>
      <c r="BH235" s="123">
        <f t="shared" si="77"/>
        <v>2.58</v>
      </c>
      <c r="BI235" s="122"/>
      <c r="BJ235" s="123"/>
      <c r="BK235" s="122"/>
      <c r="BM235" s="13">
        <v>10</v>
      </c>
      <c r="BN235" s="13">
        <v>33</v>
      </c>
      <c r="BO235" s="13">
        <v>400</v>
      </c>
      <c r="BP235" s="13">
        <v>2</v>
      </c>
      <c r="BQ235" s="14">
        <f t="shared" si="88"/>
        <v>0.26400000000000001</v>
      </c>
      <c r="BR235" s="13"/>
      <c r="BS235" s="14"/>
      <c r="BT235" s="41"/>
      <c r="BV235" s="13">
        <v>1.7</v>
      </c>
      <c r="BW235" s="13">
        <v>15</v>
      </c>
      <c r="BX235" s="13">
        <v>400</v>
      </c>
      <c r="BY235" s="13">
        <v>1</v>
      </c>
      <c r="BZ235" s="14">
        <f t="shared" si="83"/>
        <v>1.0200000000000001E-2</v>
      </c>
      <c r="CA235" s="13"/>
      <c r="CB235" s="14"/>
      <c r="CC235" s="13"/>
      <c r="CE235" s="13">
        <v>3</v>
      </c>
      <c r="CF235" s="13">
        <v>10</v>
      </c>
      <c r="CG235" s="13">
        <v>300</v>
      </c>
      <c r="CH235" s="13">
        <v>2</v>
      </c>
      <c r="CI235" s="14">
        <f t="shared" si="72"/>
        <v>1.7999999999999999E-2</v>
      </c>
      <c r="CJ235" s="13"/>
      <c r="CK235" s="14"/>
      <c r="CL235" s="13"/>
      <c r="CN235" s="13">
        <v>10</v>
      </c>
      <c r="CO235" s="13">
        <v>30</v>
      </c>
      <c r="CP235" s="13">
        <v>400</v>
      </c>
      <c r="CQ235" s="13">
        <v>1</v>
      </c>
      <c r="CR235" s="14">
        <f t="shared" si="89"/>
        <v>0.12</v>
      </c>
      <c r="CS235" s="13"/>
      <c r="CT235" s="14"/>
      <c r="CU235" s="13"/>
      <c r="CW235" s="13">
        <v>10</v>
      </c>
      <c r="CX235" s="13">
        <v>30</v>
      </c>
      <c r="CY235" s="13">
        <v>400</v>
      </c>
      <c r="CZ235" s="13">
        <v>1</v>
      </c>
      <c r="DA235" s="14">
        <f t="shared" si="78"/>
        <v>0.12</v>
      </c>
      <c r="DB235" s="13">
        <f>SUM(CZ206:CZ235)</f>
        <v>419</v>
      </c>
      <c r="DC235" s="47">
        <f>SUM(DA206:DA235)</f>
        <v>10.320519999999998</v>
      </c>
      <c r="DD235" s="13"/>
      <c r="DF235" s="13">
        <v>2.2000000000000002</v>
      </c>
      <c r="DG235" s="13">
        <v>20</v>
      </c>
      <c r="DH235" s="61">
        <v>400</v>
      </c>
      <c r="DI235" s="13">
        <v>6</v>
      </c>
      <c r="DJ235" s="14">
        <f t="shared" si="86"/>
        <v>0.1056</v>
      </c>
      <c r="DK235" s="13"/>
      <c r="DL235" s="14"/>
      <c r="DM235" s="41"/>
    </row>
    <row r="236" spans="2:117" ht="16.5" thickTop="1" x14ac:dyDescent="0.25">
      <c r="B236" s="13">
        <v>2.2000000000000002</v>
      </c>
      <c r="C236" s="13">
        <v>10</v>
      </c>
      <c r="D236" s="13">
        <v>400</v>
      </c>
      <c r="E236" s="13">
        <v>88</v>
      </c>
      <c r="F236" s="20">
        <f t="shared" si="76"/>
        <v>0.77439999999999998</v>
      </c>
      <c r="G236" s="13">
        <f>SUM(E228:E236)</f>
        <v>200</v>
      </c>
      <c r="H236" s="14">
        <f>SUM(F228:F236)</f>
        <v>2.4868800000000002</v>
      </c>
      <c r="I236" s="19"/>
      <c r="T236" s="13">
        <v>3.5</v>
      </c>
      <c r="U236" s="13">
        <v>10</v>
      </c>
      <c r="V236" s="13">
        <v>400</v>
      </c>
      <c r="W236" s="13">
        <v>1</v>
      </c>
      <c r="X236" s="14">
        <f t="shared" si="80"/>
        <v>1.4E-2</v>
      </c>
      <c r="Y236" s="13"/>
      <c r="Z236" s="14"/>
      <c r="AA236" s="13"/>
      <c r="AC236" s="13">
        <v>12</v>
      </c>
      <c r="AD236" s="13">
        <v>15</v>
      </c>
      <c r="AE236" s="13">
        <v>400</v>
      </c>
      <c r="AF236" s="13">
        <v>3</v>
      </c>
      <c r="AG236" s="14">
        <f t="shared" si="85"/>
        <v>0.216</v>
      </c>
      <c r="AH236" s="13">
        <f>SUM(AF235:AF236)</f>
        <v>7</v>
      </c>
      <c r="AI236" s="14">
        <f>SUM(AG235:AG236)</f>
        <v>0.504</v>
      </c>
      <c r="AJ236" s="13"/>
      <c r="AL236" s="122">
        <v>5</v>
      </c>
      <c r="AM236" s="122">
        <v>7</v>
      </c>
      <c r="AN236" s="122">
        <v>400</v>
      </c>
      <c r="AO236" s="122">
        <v>172</v>
      </c>
      <c r="AP236" s="123">
        <f t="shared" si="81"/>
        <v>2.4079999999999999</v>
      </c>
      <c r="AQ236" s="133"/>
      <c r="AR236" s="161"/>
      <c r="AS236" s="122"/>
      <c r="AY236" s="7" t="s">
        <v>119</v>
      </c>
      <c r="AZ236" s="6">
        <f>SUM(AX196:AX226,AX118:AX148,AX57:AX83)</f>
        <v>421</v>
      </c>
      <c r="BA236" s="5">
        <f>SUM(AY196:AY226,AY118:AY148,AY57:AY83)</f>
        <v>16.628159999999994</v>
      </c>
      <c r="BD236" s="122">
        <v>2</v>
      </c>
      <c r="BE236" s="122">
        <v>3</v>
      </c>
      <c r="BF236" s="122">
        <v>400</v>
      </c>
      <c r="BG236" s="122">
        <v>525</v>
      </c>
      <c r="BH236" s="123">
        <f t="shared" si="77"/>
        <v>1.26</v>
      </c>
      <c r="BI236" s="122">
        <f>SUM(BG203:BG236)</f>
        <v>1362</v>
      </c>
      <c r="BJ236" s="125">
        <f>SUM(BH203:BH236)</f>
        <v>12.035080000000001</v>
      </c>
      <c r="BK236" s="126" t="s">
        <v>23</v>
      </c>
      <c r="BM236" s="13">
        <v>8</v>
      </c>
      <c r="BN236" s="13">
        <v>33</v>
      </c>
      <c r="BO236" s="13">
        <v>400</v>
      </c>
      <c r="BP236" s="13">
        <v>1</v>
      </c>
      <c r="BQ236" s="14">
        <f t="shared" si="88"/>
        <v>0.1056</v>
      </c>
      <c r="BR236" s="13"/>
      <c r="BS236" s="14"/>
      <c r="BT236" s="13"/>
      <c r="BV236" s="13">
        <v>4.5</v>
      </c>
      <c r="BW236" s="13">
        <v>13</v>
      </c>
      <c r="BX236" s="13">
        <v>400</v>
      </c>
      <c r="BY236" s="13">
        <v>5</v>
      </c>
      <c r="BZ236" s="14">
        <f t="shared" si="83"/>
        <v>0.11700000000000001</v>
      </c>
      <c r="CA236" s="13"/>
      <c r="CB236" s="14"/>
      <c r="CC236" s="13"/>
      <c r="CE236" s="13">
        <v>5</v>
      </c>
      <c r="CF236" s="13">
        <v>10</v>
      </c>
      <c r="CG236" s="13">
        <v>300</v>
      </c>
      <c r="CH236" s="13">
        <v>2</v>
      </c>
      <c r="CI236" s="14">
        <f t="shared" si="72"/>
        <v>0.03</v>
      </c>
      <c r="CJ236" s="13"/>
      <c r="CK236" s="14"/>
      <c r="CL236" s="13"/>
      <c r="CN236" s="13">
        <v>15</v>
      </c>
      <c r="CO236" s="13">
        <v>25</v>
      </c>
      <c r="CP236" s="13">
        <v>400</v>
      </c>
      <c r="CQ236" s="13">
        <v>2</v>
      </c>
      <c r="CR236" s="14">
        <f t="shared" si="89"/>
        <v>0.3</v>
      </c>
      <c r="CS236" s="13"/>
      <c r="CT236" s="14"/>
      <c r="CU236" s="13"/>
      <c r="CW236" s="122">
        <v>5</v>
      </c>
      <c r="CX236" s="122">
        <v>7</v>
      </c>
      <c r="CY236" s="122">
        <v>400</v>
      </c>
      <c r="CZ236" s="122">
        <v>64</v>
      </c>
      <c r="DA236" s="123">
        <f t="shared" si="78"/>
        <v>0.89600000000000002</v>
      </c>
      <c r="DB236" s="122"/>
      <c r="DC236" s="123"/>
      <c r="DD236" s="122"/>
      <c r="DF236" s="13">
        <v>15</v>
      </c>
      <c r="DG236" s="13">
        <v>15</v>
      </c>
      <c r="DH236" s="61">
        <v>400</v>
      </c>
      <c r="DI236" s="13">
        <v>1</v>
      </c>
      <c r="DJ236" s="14">
        <f t="shared" si="86"/>
        <v>0.09</v>
      </c>
      <c r="DK236" s="13"/>
      <c r="DL236" s="14"/>
      <c r="DM236" s="41"/>
    </row>
    <row r="237" spans="2:117" ht="16.5" thickBot="1" x14ac:dyDescent="0.3">
      <c r="E237" s="17">
        <f>SUM(E203:E236)</f>
        <v>945</v>
      </c>
      <c r="F237" s="18">
        <f>SUM(F203:F236)</f>
        <v>12.017139999999999</v>
      </c>
      <c r="G237" s="17">
        <f>SUM(G203:G236)</f>
        <v>945</v>
      </c>
      <c r="H237" s="18">
        <f>SUM(H203:H236)</f>
        <v>12.017140000000001</v>
      </c>
      <c r="I237" s="17"/>
      <c r="K237" s="231" t="s">
        <v>19</v>
      </c>
      <c r="L237" s="231"/>
      <c r="M237" s="231"/>
      <c r="N237" s="231"/>
      <c r="O237" s="231"/>
      <c r="P237" s="231"/>
      <c r="Q237" s="231"/>
      <c r="R237" s="231"/>
      <c r="T237" s="122">
        <v>3</v>
      </c>
      <c r="U237" s="122">
        <v>5</v>
      </c>
      <c r="V237" s="122">
        <v>400</v>
      </c>
      <c r="W237" s="122">
        <v>370</v>
      </c>
      <c r="X237" s="123">
        <f t="shared" si="80"/>
        <v>2.2200000000000002</v>
      </c>
      <c r="Y237" s="122">
        <f>SUM(W236:W237)</f>
        <v>371</v>
      </c>
      <c r="Z237" s="123">
        <f>SUM(X236:X237)</f>
        <v>2.234</v>
      </c>
      <c r="AA237" s="122"/>
      <c r="AC237" s="13">
        <v>11</v>
      </c>
      <c r="AD237" s="13">
        <v>15</v>
      </c>
      <c r="AE237" s="13">
        <v>400</v>
      </c>
      <c r="AF237" s="13">
        <v>1</v>
      </c>
      <c r="AG237" s="14">
        <f t="shared" si="85"/>
        <v>6.6000000000000003E-2</v>
      </c>
      <c r="AH237" s="13">
        <f>SUM(AF237)</f>
        <v>1</v>
      </c>
      <c r="AI237" s="14">
        <f>SUM(AG237)</f>
        <v>6.6000000000000003E-2</v>
      </c>
      <c r="AJ237" s="13"/>
      <c r="AL237" s="130">
        <v>4</v>
      </c>
      <c r="AM237" s="130">
        <v>6</v>
      </c>
      <c r="AN237" s="130">
        <v>400</v>
      </c>
      <c r="AO237" s="130">
        <v>66</v>
      </c>
      <c r="AP237" s="131">
        <f t="shared" si="81"/>
        <v>0.63360000000000005</v>
      </c>
      <c r="AQ237" s="162">
        <f>SUM(AO204:AO237)</f>
        <v>306</v>
      </c>
      <c r="AR237" s="163">
        <f>SUM(AP204:AP237)</f>
        <v>8.0722799999999992</v>
      </c>
      <c r="AS237" s="164" t="s">
        <v>23</v>
      </c>
      <c r="AU237" s="117"/>
      <c r="AV237" s="117"/>
      <c r="AW237" s="117"/>
      <c r="AX237" s="117"/>
      <c r="AY237" s="168" t="s">
        <v>149</v>
      </c>
      <c r="AZ237" s="169">
        <f>SUM(AX195,AX189:AX192,AX109:AX112,)</f>
        <v>790</v>
      </c>
      <c r="BA237" s="170">
        <f>SUM(AY195,AY189:AY192,AY109:AY112,)</f>
        <v>4.3033999999999999</v>
      </c>
      <c r="BB237" s="117"/>
      <c r="BD237" s="13">
        <v>2.2000000000000002</v>
      </c>
      <c r="BE237" s="13">
        <v>15</v>
      </c>
      <c r="BF237" s="13">
        <v>300</v>
      </c>
      <c r="BG237" s="13">
        <v>1</v>
      </c>
      <c r="BH237" s="14">
        <f t="shared" si="77"/>
        <v>9.9000000000000008E-3</v>
      </c>
      <c r="BI237" s="13"/>
      <c r="BJ237" s="14"/>
      <c r="BK237" s="13"/>
      <c r="BM237" s="13">
        <v>10</v>
      </c>
      <c r="BN237" s="13">
        <v>28</v>
      </c>
      <c r="BO237" s="13">
        <v>400</v>
      </c>
      <c r="BP237" s="13">
        <v>2</v>
      </c>
      <c r="BQ237" s="14">
        <f t="shared" si="88"/>
        <v>0.224</v>
      </c>
      <c r="BR237" s="13"/>
      <c r="BS237" s="14"/>
      <c r="BT237" s="13"/>
      <c r="BV237" s="13">
        <v>3.5</v>
      </c>
      <c r="BW237" s="13">
        <v>13</v>
      </c>
      <c r="BX237" s="13">
        <v>400</v>
      </c>
      <c r="BY237" s="13">
        <v>1</v>
      </c>
      <c r="BZ237" s="14">
        <f t="shared" si="83"/>
        <v>1.8200000000000001E-2</v>
      </c>
      <c r="CA237" s="13"/>
      <c r="CB237" s="14"/>
      <c r="CC237" s="13"/>
      <c r="CE237" s="13">
        <v>6</v>
      </c>
      <c r="CF237" s="13">
        <v>10</v>
      </c>
      <c r="CG237" s="13">
        <v>300</v>
      </c>
      <c r="CH237" s="13">
        <v>1</v>
      </c>
      <c r="CI237" s="14">
        <f t="shared" si="72"/>
        <v>1.7999999999999999E-2</v>
      </c>
      <c r="CJ237" s="13"/>
      <c r="CK237" s="14"/>
      <c r="CL237" s="13"/>
      <c r="CN237" s="13">
        <v>15</v>
      </c>
      <c r="CO237" s="13">
        <v>20</v>
      </c>
      <c r="CP237" s="13">
        <v>400</v>
      </c>
      <c r="CQ237" s="13">
        <v>8</v>
      </c>
      <c r="CR237" s="14">
        <f t="shared" si="89"/>
        <v>0.96</v>
      </c>
      <c r="CS237" s="13"/>
      <c r="CT237" s="14"/>
      <c r="CU237" s="13"/>
      <c r="CW237" s="122">
        <v>4</v>
      </c>
      <c r="CX237" s="122">
        <v>6</v>
      </c>
      <c r="CY237" s="122">
        <v>400</v>
      </c>
      <c r="CZ237" s="122">
        <v>18</v>
      </c>
      <c r="DA237" s="123">
        <f t="shared" si="78"/>
        <v>0.17280000000000001</v>
      </c>
      <c r="DB237" s="122"/>
      <c r="DC237" s="123"/>
      <c r="DD237" s="122"/>
      <c r="DF237" s="13">
        <v>13</v>
      </c>
      <c r="DG237" s="13">
        <v>15</v>
      </c>
      <c r="DH237" s="61">
        <v>400</v>
      </c>
      <c r="DI237" s="13">
        <v>1</v>
      </c>
      <c r="DJ237" s="14">
        <f t="shared" si="86"/>
        <v>7.8E-2</v>
      </c>
      <c r="DK237" s="13"/>
      <c r="DL237" s="14"/>
      <c r="DM237" s="41"/>
    </row>
    <row r="238" spans="2:117" ht="17.25" thickTop="1" thickBot="1" x14ac:dyDescent="0.3">
      <c r="K238" s="231"/>
      <c r="L238" s="231"/>
      <c r="M238" s="231"/>
      <c r="N238" s="231"/>
      <c r="O238" s="231"/>
      <c r="P238" s="231"/>
      <c r="Q238" s="231"/>
      <c r="R238" s="231"/>
      <c r="T238" s="13">
        <v>2.2000000000000002</v>
      </c>
      <c r="U238" s="13">
        <v>18</v>
      </c>
      <c r="V238" s="13">
        <v>400</v>
      </c>
      <c r="W238" s="13">
        <v>2</v>
      </c>
      <c r="X238" s="14">
        <f t="shared" si="80"/>
        <v>3.168E-2</v>
      </c>
      <c r="Y238" s="13"/>
      <c r="Z238" s="14"/>
      <c r="AA238" s="13"/>
      <c r="AC238" s="13">
        <v>10</v>
      </c>
      <c r="AD238" s="13">
        <v>15</v>
      </c>
      <c r="AE238" s="13">
        <v>400</v>
      </c>
      <c r="AF238" s="13">
        <v>2</v>
      </c>
      <c r="AG238" s="14">
        <f t="shared" si="85"/>
        <v>0.12</v>
      </c>
      <c r="AH238" s="13"/>
      <c r="AI238" s="14"/>
      <c r="AJ238" s="13"/>
      <c r="AL238" s="237"/>
      <c r="AM238" s="237"/>
      <c r="AN238" s="238"/>
      <c r="AO238" s="17">
        <f>SUM(AO178:AO237)</f>
        <v>529</v>
      </c>
      <c r="AP238" s="32">
        <f>SUM(AP178:AP237)</f>
        <v>11.786380000000003</v>
      </c>
      <c r="AQ238" s="17">
        <f>SUM(AQ178:AQ237)</f>
        <v>529</v>
      </c>
      <c r="AR238" s="32">
        <f>SUM(AR178:AR237)</f>
        <v>11.786379999999999</v>
      </c>
      <c r="AS238" s="17"/>
      <c r="AU238" s="117"/>
      <c r="AV238" s="117"/>
      <c r="AW238" s="117"/>
      <c r="AX238" s="117"/>
      <c r="AY238" s="168" t="s">
        <v>148</v>
      </c>
      <c r="AZ238" s="169">
        <f>SUM(AX193:AX194,AX158:AX188,AX113:AX117,AX91:AX108,AX8:AX56)</f>
        <v>363</v>
      </c>
      <c r="BA238" s="170">
        <f>SUM(AY193:AY194,AY158:AY188,AY113:AY117,AY91:AY108,AY8:AY56)</f>
        <v>12.615799999999993</v>
      </c>
      <c r="BB238" s="117"/>
      <c r="BD238" s="13">
        <v>4.5</v>
      </c>
      <c r="BE238" s="13">
        <v>15</v>
      </c>
      <c r="BF238" s="13">
        <v>300</v>
      </c>
      <c r="BG238" s="13">
        <v>1</v>
      </c>
      <c r="BH238" s="14">
        <f t="shared" si="77"/>
        <v>2.0250000000000001E-2</v>
      </c>
      <c r="BI238" s="13"/>
      <c r="BJ238" s="14"/>
      <c r="BK238" s="13"/>
      <c r="BM238" s="13">
        <v>15</v>
      </c>
      <c r="BN238" s="13">
        <v>29</v>
      </c>
      <c r="BO238" s="13">
        <v>400</v>
      </c>
      <c r="BP238" s="13">
        <v>1</v>
      </c>
      <c r="BQ238" s="14">
        <f t="shared" si="88"/>
        <v>0.17399999999999999</v>
      </c>
      <c r="BR238" s="13"/>
      <c r="BS238" s="14"/>
      <c r="BT238" s="13"/>
      <c r="BV238" s="13">
        <v>7</v>
      </c>
      <c r="BW238" s="13">
        <v>13</v>
      </c>
      <c r="BX238" s="13">
        <v>400</v>
      </c>
      <c r="BY238" s="13">
        <v>1</v>
      </c>
      <c r="BZ238" s="14">
        <f t="shared" si="83"/>
        <v>3.6400000000000002E-2</v>
      </c>
      <c r="CA238" s="13"/>
      <c r="CB238" s="14"/>
      <c r="CC238" s="13"/>
      <c r="CE238" s="13">
        <v>2</v>
      </c>
      <c r="CF238" s="13">
        <v>15</v>
      </c>
      <c r="CG238" s="13">
        <v>300</v>
      </c>
      <c r="CH238" s="13">
        <v>1</v>
      </c>
      <c r="CI238" s="14">
        <f t="shared" si="72"/>
        <v>8.9999999999999993E-3</v>
      </c>
      <c r="CJ238" s="13"/>
      <c r="CK238" s="14"/>
      <c r="CL238" s="13"/>
      <c r="CN238" s="13">
        <v>15</v>
      </c>
      <c r="CO238" s="13">
        <v>15</v>
      </c>
      <c r="CP238" s="13">
        <v>400</v>
      </c>
      <c r="CQ238" s="13">
        <v>3</v>
      </c>
      <c r="CR238" s="14">
        <f t="shared" si="89"/>
        <v>0.27</v>
      </c>
      <c r="CS238" s="13"/>
      <c r="CT238" s="14"/>
      <c r="CU238" s="13"/>
      <c r="CW238" s="122">
        <v>3</v>
      </c>
      <c r="CX238" s="122">
        <v>5</v>
      </c>
      <c r="CY238" s="122">
        <v>400</v>
      </c>
      <c r="CZ238" s="122">
        <v>100</v>
      </c>
      <c r="DA238" s="123">
        <f t="shared" si="78"/>
        <v>0.6</v>
      </c>
      <c r="DB238" s="122"/>
      <c r="DC238" s="123"/>
      <c r="DD238" s="122"/>
      <c r="DF238" s="13">
        <v>10</v>
      </c>
      <c r="DG238" s="13">
        <v>15</v>
      </c>
      <c r="DH238" s="61">
        <v>400</v>
      </c>
      <c r="DI238" s="13">
        <v>8</v>
      </c>
      <c r="DJ238" s="14">
        <f t="shared" si="86"/>
        <v>0.48</v>
      </c>
      <c r="DK238" s="13"/>
      <c r="DL238" s="14"/>
      <c r="DM238" s="41"/>
    </row>
    <row r="239" spans="2:117" ht="17.25" thickTop="1" thickBot="1" x14ac:dyDescent="0.3">
      <c r="B239" s="8" t="s">
        <v>5</v>
      </c>
      <c r="C239" s="4"/>
      <c r="D239" s="4"/>
      <c r="E239" s="4"/>
      <c r="F239" s="4"/>
      <c r="G239" s="8" t="s">
        <v>120</v>
      </c>
      <c r="H239" s="4"/>
      <c r="I239" s="4"/>
      <c r="K239" s="28" t="s">
        <v>18</v>
      </c>
      <c r="L239" s="27" t="s">
        <v>17</v>
      </c>
      <c r="M239" s="26"/>
      <c r="N239" s="26"/>
      <c r="O239" s="26"/>
      <c r="P239" s="26"/>
      <c r="Q239" s="26"/>
      <c r="R239" s="26"/>
      <c r="T239" s="13">
        <v>2.2000000000000002</v>
      </c>
      <c r="U239" s="13">
        <v>15</v>
      </c>
      <c r="V239" s="13">
        <v>400</v>
      </c>
      <c r="W239" s="13">
        <v>2</v>
      </c>
      <c r="X239" s="14">
        <f t="shared" si="80"/>
        <v>2.64E-2</v>
      </c>
      <c r="Y239" s="13"/>
      <c r="Z239" s="14"/>
      <c r="AA239" s="13"/>
      <c r="AC239" s="13">
        <v>10</v>
      </c>
      <c r="AD239" s="13">
        <v>12</v>
      </c>
      <c r="AE239" s="13">
        <v>300</v>
      </c>
      <c r="AF239" s="13">
        <v>1</v>
      </c>
      <c r="AG239" s="14">
        <f t="shared" si="85"/>
        <v>3.5999999999999997E-2</v>
      </c>
      <c r="AH239" s="13"/>
      <c r="AI239" s="14"/>
      <c r="AJ239" s="13"/>
      <c r="AZ239" s="30">
        <f>SUM(AZ235:AZ238)</f>
        <v>1758</v>
      </c>
      <c r="BA239" s="31">
        <f>SUM(BA235:BA238)</f>
        <v>35.859359999999988</v>
      </c>
      <c r="BD239" s="13">
        <v>2.2000000000000002</v>
      </c>
      <c r="BE239" s="13">
        <v>10</v>
      </c>
      <c r="BF239" s="13">
        <v>300</v>
      </c>
      <c r="BG239" s="13">
        <v>29</v>
      </c>
      <c r="BH239" s="14">
        <f t="shared" si="77"/>
        <v>0.19139999999999999</v>
      </c>
      <c r="BI239" s="13"/>
      <c r="BJ239" s="14"/>
      <c r="BK239" s="13"/>
      <c r="BM239" s="13">
        <v>15</v>
      </c>
      <c r="BN239" s="13">
        <v>25</v>
      </c>
      <c r="BO239" s="13">
        <v>400</v>
      </c>
      <c r="BP239" s="13">
        <v>1</v>
      </c>
      <c r="BQ239" s="14">
        <f t="shared" si="88"/>
        <v>0.15</v>
      </c>
      <c r="BR239" s="13"/>
      <c r="BS239" s="14"/>
      <c r="BT239" s="41"/>
      <c r="BV239" s="13">
        <v>10</v>
      </c>
      <c r="BW239" s="13">
        <v>13</v>
      </c>
      <c r="BX239" s="13">
        <v>400</v>
      </c>
      <c r="BY239" s="13">
        <v>3</v>
      </c>
      <c r="BZ239" s="14">
        <f t="shared" si="83"/>
        <v>0.156</v>
      </c>
      <c r="CA239" s="13"/>
      <c r="CB239" s="14"/>
      <c r="CC239" s="13"/>
      <c r="CE239" s="13">
        <v>3</v>
      </c>
      <c r="CF239" s="13">
        <v>15</v>
      </c>
      <c r="CG239" s="13">
        <v>300</v>
      </c>
      <c r="CH239" s="13">
        <v>2</v>
      </c>
      <c r="CI239" s="14">
        <f t="shared" si="72"/>
        <v>2.7E-2</v>
      </c>
      <c r="CJ239" s="13"/>
      <c r="CK239" s="14"/>
      <c r="CL239" s="13"/>
      <c r="CN239" s="13">
        <v>13</v>
      </c>
      <c r="CO239" s="13">
        <v>25</v>
      </c>
      <c r="CP239" s="13">
        <v>400</v>
      </c>
      <c r="CQ239" s="13">
        <v>1</v>
      </c>
      <c r="CR239" s="14">
        <f t="shared" si="89"/>
        <v>0.13</v>
      </c>
      <c r="CS239" s="13"/>
      <c r="CT239" s="14"/>
      <c r="CU239" s="13"/>
      <c r="CW239" s="122">
        <v>3</v>
      </c>
      <c r="CX239" s="122">
        <v>5</v>
      </c>
      <c r="CY239" s="122">
        <v>300</v>
      </c>
      <c r="CZ239" s="122">
        <v>20</v>
      </c>
      <c r="DA239" s="123">
        <f t="shared" si="78"/>
        <v>0.09</v>
      </c>
      <c r="DB239" s="122"/>
      <c r="DC239" s="123"/>
      <c r="DD239" s="122"/>
      <c r="DF239" s="13">
        <v>7</v>
      </c>
      <c r="DG239" s="13">
        <v>15</v>
      </c>
      <c r="DH239" s="61">
        <v>400</v>
      </c>
      <c r="DI239" s="13">
        <v>5</v>
      </c>
      <c r="DJ239" s="14">
        <f t="shared" si="86"/>
        <v>0.21</v>
      </c>
      <c r="DK239" s="13"/>
      <c r="DL239" s="14"/>
      <c r="DM239" s="41"/>
    </row>
    <row r="240" spans="2:117" ht="16.5" thickTop="1" x14ac:dyDescent="0.25">
      <c r="B240" s="4" t="s">
        <v>3</v>
      </c>
      <c r="C240" s="4"/>
      <c r="D240" s="6">
        <f>SUM(E145)</f>
        <v>321</v>
      </c>
      <c r="E240" s="5">
        <f>SUM(F145)</f>
        <v>11.73916</v>
      </c>
      <c r="F240" s="4"/>
      <c r="G240" s="4" t="s">
        <v>118</v>
      </c>
      <c r="H240" s="6">
        <f>SUM(E225:E227,E221:E222,E183,E186:E187,E138)</f>
        <v>1008</v>
      </c>
      <c r="I240" s="7">
        <f>SUM(F225:F227,F221:F222,F183,F186:F187,F138)</f>
        <v>7.6265000000000001</v>
      </c>
      <c r="K240" s="28" t="s">
        <v>16</v>
      </c>
      <c r="L240" s="27" t="s">
        <v>15</v>
      </c>
      <c r="M240" s="26"/>
      <c r="N240" s="26"/>
      <c r="O240" s="26"/>
      <c r="P240" s="26"/>
      <c r="Q240" s="26"/>
      <c r="R240" s="26"/>
      <c r="T240" s="13">
        <v>2.2000000000000002</v>
      </c>
      <c r="U240" s="13">
        <v>13</v>
      </c>
      <c r="V240" s="13">
        <v>400</v>
      </c>
      <c r="W240" s="13">
        <v>3</v>
      </c>
      <c r="X240" s="14">
        <f t="shared" si="80"/>
        <v>3.4320000000000003E-2</v>
      </c>
      <c r="Y240" s="13"/>
      <c r="Z240" s="14"/>
      <c r="AA240" s="13"/>
      <c r="AC240" s="13">
        <v>10</v>
      </c>
      <c r="AD240" s="13">
        <v>10</v>
      </c>
      <c r="AE240" s="13">
        <v>400</v>
      </c>
      <c r="AF240" s="13">
        <v>2</v>
      </c>
      <c r="AG240" s="14">
        <f t="shared" si="85"/>
        <v>0.08</v>
      </c>
      <c r="AH240" s="13"/>
      <c r="AI240" s="14"/>
      <c r="AJ240" s="13"/>
      <c r="AL240" s="231" t="s">
        <v>19</v>
      </c>
      <c r="AM240" s="231"/>
      <c r="AN240" s="231"/>
      <c r="AO240" s="231"/>
      <c r="AP240" s="231"/>
      <c r="AQ240" s="231"/>
      <c r="AR240" s="231"/>
      <c r="AS240" s="231"/>
      <c r="BD240" s="13">
        <v>4.5</v>
      </c>
      <c r="BE240" s="13">
        <v>10</v>
      </c>
      <c r="BF240" s="13">
        <v>300</v>
      </c>
      <c r="BG240" s="13">
        <v>10</v>
      </c>
      <c r="BH240" s="14">
        <f t="shared" si="77"/>
        <v>0.13500000000000001</v>
      </c>
      <c r="BI240" s="13"/>
      <c r="BJ240" s="14"/>
      <c r="BK240" s="13"/>
      <c r="BM240" s="13">
        <v>13</v>
      </c>
      <c r="BN240" s="13">
        <v>25</v>
      </c>
      <c r="BO240" s="13">
        <v>400</v>
      </c>
      <c r="BP240" s="13">
        <v>2</v>
      </c>
      <c r="BQ240" s="14">
        <f t="shared" si="88"/>
        <v>0.26</v>
      </c>
      <c r="BR240" s="13"/>
      <c r="BS240" s="14"/>
      <c r="BT240" s="13"/>
      <c r="BV240" s="13">
        <v>2.2000000000000002</v>
      </c>
      <c r="BW240" s="13">
        <v>10</v>
      </c>
      <c r="BX240" s="13">
        <v>400</v>
      </c>
      <c r="BY240" s="13">
        <v>58</v>
      </c>
      <c r="BZ240" s="14">
        <f t="shared" si="83"/>
        <v>0.51039999999999996</v>
      </c>
      <c r="CA240" s="13"/>
      <c r="CB240" s="14"/>
      <c r="CC240" s="13"/>
      <c r="CE240" s="13">
        <v>2</v>
      </c>
      <c r="CF240" s="13">
        <v>10</v>
      </c>
      <c r="CG240" s="13">
        <v>300</v>
      </c>
      <c r="CH240" s="13">
        <v>10</v>
      </c>
      <c r="CI240" s="14">
        <f t="shared" si="72"/>
        <v>0.06</v>
      </c>
      <c r="CJ240" s="13"/>
      <c r="CK240" s="14"/>
      <c r="CL240" s="13"/>
      <c r="CN240" s="13">
        <v>12</v>
      </c>
      <c r="CO240" s="13">
        <v>20</v>
      </c>
      <c r="CP240" s="13">
        <v>400</v>
      </c>
      <c r="CQ240" s="13">
        <v>5</v>
      </c>
      <c r="CR240" s="14">
        <f t="shared" si="89"/>
        <v>0.48</v>
      </c>
      <c r="CS240" s="13"/>
      <c r="CT240" s="14"/>
      <c r="CU240" s="13"/>
      <c r="CW240" s="122">
        <v>2</v>
      </c>
      <c r="CX240" s="122">
        <v>3</v>
      </c>
      <c r="CY240" s="122">
        <v>300</v>
      </c>
      <c r="CZ240" s="122">
        <v>25</v>
      </c>
      <c r="DA240" s="123">
        <f t="shared" si="78"/>
        <v>4.4999999999999998E-2</v>
      </c>
      <c r="DB240" s="122"/>
      <c r="DC240" s="124"/>
      <c r="DD240" s="122"/>
      <c r="DF240" s="13">
        <v>4.5</v>
      </c>
      <c r="DG240" s="13">
        <v>15</v>
      </c>
      <c r="DH240" s="61">
        <v>400</v>
      </c>
      <c r="DI240" s="13">
        <v>14</v>
      </c>
      <c r="DJ240" s="14">
        <f t="shared" si="86"/>
        <v>0.378</v>
      </c>
      <c r="DK240" s="13"/>
      <c r="DL240" s="14"/>
      <c r="DM240" s="41"/>
    </row>
    <row r="241" spans="2:117" ht="15.75" x14ac:dyDescent="0.25">
      <c r="B241" s="4" t="s">
        <v>2</v>
      </c>
      <c r="C241" s="4"/>
      <c r="D241" s="6">
        <f>SUM(E194)</f>
        <v>545</v>
      </c>
      <c r="E241" s="5">
        <f>SUM(F194)</f>
        <v>12.141520000000002</v>
      </c>
      <c r="F241" s="4"/>
      <c r="G241" s="4" t="s">
        <v>119</v>
      </c>
      <c r="H241" s="6">
        <f>SUM(E228:E236,E223:E224,E203:E220,E188:E193,E184:E185,E154:E182,E139:E144,E118:E137)</f>
        <v>803</v>
      </c>
      <c r="I241" s="5">
        <f>SUM(F228:F236,F223:F224,F203:F220,F188:F193,F184:F185,F154:F182,F139:F144,F118:F137)</f>
        <v>28.271319999999999</v>
      </c>
      <c r="K241" s="25"/>
      <c r="L241" s="25"/>
      <c r="M241" s="25"/>
      <c r="N241" s="25"/>
      <c r="O241" s="25"/>
      <c r="P241" s="225" t="s">
        <v>59</v>
      </c>
      <c r="Q241" s="225"/>
      <c r="R241" s="225"/>
      <c r="T241" s="13">
        <v>2.2000000000000002</v>
      </c>
      <c r="U241" s="13">
        <v>10</v>
      </c>
      <c r="V241" s="13">
        <v>400</v>
      </c>
      <c r="W241" s="13">
        <v>202</v>
      </c>
      <c r="X241" s="14">
        <f t="shared" si="80"/>
        <v>1.7776000000000001</v>
      </c>
      <c r="Y241" s="13">
        <f>SUM(W238:W241)</f>
        <v>209</v>
      </c>
      <c r="Z241" s="14">
        <f>SUM(X238:X241)</f>
        <v>1.87</v>
      </c>
      <c r="AA241" s="13"/>
      <c r="AC241" s="13">
        <v>10</v>
      </c>
      <c r="AD241" s="13">
        <v>10</v>
      </c>
      <c r="AE241" s="13">
        <v>300</v>
      </c>
      <c r="AF241" s="13">
        <v>1</v>
      </c>
      <c r="AG241" s="14">
        <f t="shared" si="85"/>
        <v>0.03</v>
      </c>
      <c r="AH241" s="13">
        <f>SUM(AF238:AF241)</f>
        <v>6</v>
      </c>
      <c r="AI241" s="14">
        <f>SUM(AG238:AG241)</f>
        <v>0.26600000000000001</v>
      </c>
      <c r="AJ241" s="13"/>
      <c r="AL241" s="231"/>
      <c r="AM241" s="231"/>
      <c r="AN241" s="231"/>
      <c r="AO241" s="231"/>
      <c r="AP241" s="231"/>
      <c r="AQ241" s="231"/>
      <c r="AR241" s="231"/>
      <c r="AS241" s="231"/>
      <c r="AU241" s="231" t="s">
        <v>19</v>
      </c>
      <c r="AV241" s="231"/>
      <c r="AW241" s="231"/>
      <c r="AX241" s="231"/>
      <c r="AY241" s="231"/>
      <c r="AZ241" s="231"/>
      <c r="BA241" s="231"/>
      <c r="BB241" s="231"/>
      <c r="BD241" s="13">
        <v>3.5</v>
      </c>
      <c r="BE241" s="13">
        <v>10</v>
      </c>
      <c r="BF241" s="13">
        <v>300</v>
      </c>
      <c r="BG241" s="13">
        <v>1</v>
      </c>
      <c r="BH241" s="14">
        <f t="shared" si="77"/>
        <v>1.0500000000000001E-2</v>
      </c>
      <c r="BI241" s="13"/>
      <c r="BJ241" s="14"/>
      <c r="BK241" s="13"/>
      <c r="BM241" s="13">
        <v>10</v>
      </c>
      <c r="BN241" s="13">
        <v>25</v>
      </c>
      <c r="BO241" s="13">
        <v>400</v>
      </c>
      <c r="BP241" s="13">
        <v>1</v>
      </c>
      <c r="BQ241" s="14">
        <f t="shared" si="88"/>
        <v>0.1</v>
      </c>
      <c r="BR241" s="13"/>
      <c r="BS241" s="14"/>
      <c r="BT241" s="41"/>
      <c r="BV241" s="13">
        <v>4.5</v>
      </c>
      <c r="BW241" s="13">
        <v>10</v>
      </c>
      <c r="BX241" s="13">
        <v>400</v>
      </c>
      <c r="BY241" s="13">
        <v>129</v>
      </c>
      <c r="BZ241" s="14">
        <f t="shared" si="83"/>
        <v>2.3220000000000001</v>
      </c>
      <c r="CA241" s="13"/>
      <c r="CB241" s="14"/>
      <c r="CC241" s="13"/>
      <c r="CE241" s="57">
        <v>3</v>
      </c>
      <c r="CF241" s="57">
        <v>5</v>
      </c>
      <c r="CG241" s="57">
        <v>300</v>
      </c>
      <c r="CH241" s="57">
        <v>10</v>
      </c>
      <c r="CI241" s="56">
        <f t="shared" si="72"/>
        <v>4.4999999999999998E-2</v>
      </c>
      <c r="CJ241" s="57"/>
      <c r="CK241" s="56"/>
      <c r="CL241" s="57"/>
      <c r="CN241" s="13">
        <v>10</v>
      </c>
      <c r="CO241" s="13">
        <v>30</v>
      </c>
      <c r="CP241" s="13">
        <v>400</v>
      </c>
      <c r="CQ241" s="13">
        <v>1</v>
      </c>
      <c r="CR241" s="14">
        <f t="shared" si="89"/>
        <v>0.12</v>
      </c>
      <c r="CS241" s="13"/>
      <c r="CT241" s="14"/>
      <c r="CU241" s="13"/>
      <c r="CW241" s="122">
        <v>2</v>
      </c>
      <c r="CX241" s="122">
        <v>3</v>
      </c>
      <c r="CY241" s="122">
        <v>400</v>
      </c>
      <c r="CZ241" s="122">
        <v>225</v>
      </c>
      <c r="DA241" s="123">
        <f t="shared" si="78"/>
        <v>0.54</v>
      </c>
      <c r="DB241" s="122">
        <f>SUM(CZ236:CZ241)</f>
        <v>452</v>
      </c>
      <c r="DC241" s="125">
        <f>SUM(DA236:DA241)</f>
        <v>2.3437999999999999</v>
      </c>
      <c r="DD241" s="126" t="s">
        <v>23</v>
      </c>
      <c r="DF241" s="13">
        <v>2.2000000000000002</v>
      </c>
      <c r="DG241" s="13">
        <v>15</v>
      </c>
      <c r="DH241" s="61">
        <v>400</v>
      </c>
      <c r="DI241" s="13">
        <v>11</v>
      </c>
      <c r="DJ241" s="14">
        <f t="shared" si="86"/>
        <v>0.1452</v>
      </c>
      <c r="DK241" s="13"/>
      <c r="DL241" s="14"/>
      <c r="DM241" s="41"/>
    </row>
    <row r="242" spans="2:117" ht="16.5" thickBot="1" x14ac:dyDescent="0.3">
      <c r="B242" s="4" t="s">
        <v>1</v>
      </c>
      <c r="C242" s="4"/>
      <c r="D242" s="6">
        <f>SUM(E237)</f>
        <v>945</v>
      </c>
      <c r="E242" s="5">
        <f>SUM(F237)</f>
        <v>12.017139999999999</v>
      </c>
      <c r="F242" s="4"/>
      <c r="G242" s="4"/>
      <c r="H242" s="3">
        <f>SUM(H240:H241)</f>
        <v>1811</v>
      </c>
      <c r="I242" s="114">
        <f>SUM(I240:I241)</f>
        <v>35.897819999999996</v>
      </c>
      <c r="K242" s="226" t="s">
        <v>13</v>
      </c>
      <c r="L242" s="227"/>
      <c r="M242" s="228"/>
      <c r="N242" s="227" t="s">
        <v>12</v>
      </c>
      <c r="O242" s="228"/>
      <c r="P242" s="227" t="s">
        <v>12</v>
      </c>
      <c r="Q242" s="228"/>
      <c r="R242" s="229" t="s">
        <v>11</v>
      </c>
      <c r="T242" s="13">
        <v>1.7</v>
      </c>
      <c r="U242" s="13">
        <v>18</v>
      </c>
      <c r="V242" s="13">
        <v>400</v>
      </c>
      <c r="W242" s="13">
        <v>2</v>
      </c>
      <c r="X242" s="14">
        <f t="shared" si="80"/>
        <v>2.4479999999999998E-2</v>
      </c>
      <c r="Y242" s="13"/>
      <c r="Z242" s="14"/>
      <c r="AA242" s="13"/>
      <c r="AC242" s="13">
        <v>9.5</v>
      </c>
      <c r="AD242" s="13">
        <v>10</v>
      </c>
      <c r="AE242" s="13">
        <v>400</v>
      </c>
      <c r="AF242" s="13">
        <v>1</v>
      </c>
      <c r="AG242" s="14">
        <f t="shared" si="85"/>
        <v>3.7999999999999999E-2</v>
      </c>
      <c r="AH242" s="13"/>
      <c r="AI242" s="14"/>
      <c r="AJ242" s="13"/>
      <c r="AL242" s="28" t="s">
        <v>18</v>
      </c>
      <c r="AM242" s="27" t="s">
        <v>40</v>
      </c>
      <c r="AN242" s="26"/>
      <c r="AO242" s="26"/>
      <c r="AP242" s="26"/>
      <c r="AQ242" s="26"/>
      <c r="AU242" s="231"/>
      <c r="AV242" s="231"/>
      <c r="AW242" s="231"/>
      <c r="AX242" s="231"/>
      <c r="AY242" s="231"/>
      <c r="AZ242" s="231"/>
      <c r="BA242" s="231"/>
      <c r="BB242" s="231"/>
      <c r="BD242" s="13">
        <v>4.5</v>
      </c>
      <c r="BE242" s="13">
        <v>10</v>
      </c>
      <c r="BF242" s="13">
        <v>200</v>
      </c>
      <c r="BG242" s="13">
        <v>5</v>
      </c>
      <c r="BH242" s="14">
        <f t="shared" si="77"/>
        <v>4.4999999999999998E-2</v>
      </c>
      <c r="BI242" s="13"/>
      <c r="BJ242" s="14"/>
      <c r="BK242" s="13"/>
      <c r="BM242" s="13">
        <v>8</v>
      </c>
      <c r="BN242" s="13">
        <v>25</v>
      </c>
      <c r="BO242" s="13">
        <v>400</v>
      </c>
      <c r="BP242" s="13">
        <v>1</v>
      </c>
      <c r="BQ242" s="14">
        <f t="shared" si="88"/>
        <v>0.08</v>
      </c>
      <c r="BR242" s="13"/>
      <c r="BS242" s="14"/>
      <c r="BT242" s="41"/>
      <c r="BV242" s="13">
        <v>7</v>
      </c>
      <c r="BW242" s="13">
        <v>10</v>
      </c>
      <c r="BX242" s="13">
        <v>400</v>
      </c>
      <c r="BY242" s="13">
        <v>6</v>
      </c>
      <c r="BZ242" s="14">
        <f t="shared" si="83"/>
        <v>0.16800000000000001</v>
      </c>
      <c r="CA242" s="13"/>
      <c r="CB242" s="14"/>
      <c r="CC242" s="13"/>
      <c r="CE242" s="13">
        <v>2</v>
      </c>
      <c r="CF242" s="13">
        <v>10</v>
      </c>
      <c r="CG242" s="13">
        <v>250</v>
      </c>
      <c r="CH242" s="13">
        <v>1</v>
      </c>
      <c r="CI242" s="14">
        <f t="shared" si="72"/>
        <v>5.0000000000000001E-3</v>
      </c>
      <c r="CJ242" s="13"/>
      <c r="CK242" s="14"/>
      <c r="CL242" s="13"/>
      <c r="CN242" s="13">
        <v>12.5</v>
      </c>
      <c r="CO242" s="13">
        <v>20</v>
      </c>
      <c r="CP242" s="13">
        <v>400</v>
      </c>
      <c r="CQ242" s="13">
        <v>4</v>
      </c>
      <c r="CR242" s="14">
        <f t="shared" si="89"/>
        <v>0.4</v>
      </c>
      <c r="CS242" s="13"/>
      <c r="CT242" s="14"/>
      <c r="CU242" s="13"/>
      <c r="CW242" s="115"/>
      <c r="CX242" s="115"/>
      <c r="CY242" s="115"/>
      <c r="CZ242" s="17">
        <f>SUM(CZ206:CZ241)</f>
        <v>871</v>
      </c>
      <c r="DA242" s="32">
        <f>SUM(DA206:DA241)</f>
        <v>12.66432</v>
      </c>
      <c r="DB242" s="17">
        <f>SUM(DB206:DB241)</f>
        <v>871</v>
      </c>
      <c r="DC242" s="32">
        <f>SUM(DC206:DC241)</f>
        <v>12.664319999999998</v>
      </c>
      <c r="DD242" s="146"/>
      <c r="DF242" s="13">
        <v>4.5</v>
      </c>
      <c r="DG242" s="13">
        <v>13</v>
      </c>
      <c r="DH242" s="61">
        <v>400</v>
      </c>
      <c r="DI242" s="13">
        <v>2</v>
      </c>
      <c r="DJ242" s="14">
        <f t="shared" si="86"/>
        <v>4.6800000000000001E-2</v>
      </c>
      <c r="DK242" s="13"/>
      <c r="DL242" s="14"/>
      <c r="DM242" s="41"/>
    </row>
    <row r="243" spans="2:117" ht="17.25" thickTop="1" thickBot="1" x14ac:dyDescent="0.3">
      <c r="B243" s="4"/>
      <c r="C243" s="4"/>
      <c r="D243" s="3">
        <f>SUM(D240:D242)</f>
        <v>1811</v>
      </c>
      <c r="E243" s="2">
        <f>SUM(E240:E242)</f>
        <v>35.897820000000003</v>
      </c>
      <c r="F243" s="4"/>
      <c r="G243" s="4"/>
      <c r="H243" s="4"/>
      <c r="I243" s="4"/>
      <c r="K243" s="24" t="s">
        <v>10</v>
      </c>
      <c r="L243" s="23" t="s">
        <v>9</v>
      </c>
      <c r="M243" s="23" t="s">
        <v>8</v>
      </c>
      <c r="N243" s="22" t="s">
        <v>7</v>
      </c>
      <c r="O243" s="21" t="s">
        <v>6</v>
      </c>
      <c r="P243" s="22" t="s">
        <v>7</v>
      </c>
      <c r="Q243" s="21" t="s">
        <v>6</v>
      </c>
      <c r="R243" s="230"/>
      <c r="T243" s="13">
        <v>1.7</v>
      </c>
      <c r="U243" s="13">
        <v>15</v>
      </c>
      <c r="V243" s="13">
        <v>400</v>
      </c>
      <c r="W243" s="13">
        <v>1</v>
      </c>
      <c r="X243" s="14">
        <f t="shared" si="80"/>
        <v>1.0200000000000001E-2</v>
      </c>
      <c r="Y243" s="13"/>
      <c r="Z243" s="14"/>
      <c r="AA243" s="13"/>
      <c r="AC243" s="13">
        <v>9.5</v>
      </c>
      <c r="AD243" s="13">
        <v>9.5</v>
      </c>
      <c r="AE243" s="13">
        <v>400</v>
      </c>
      <c r="AF243" s="13">
        <v>6</v>
      </c>
      <c r="AG243" s="14">
        <f t="shared" si="85"/>
        <v>0.21659999999999999</v>
      </c>
      <c r="AH243" s="13">
        <f>SUM(AF242:AF243)</f>
        <v>7</v>
      </c>
      <c r="AI243" s="14">
        <f>SUM(AG242:AG243)</f>
        <v>0.25459999999999999</v>
      </c>
      <c r="AJ243" s="13"/>
      <c r="AL243" s="28" t="s">
        <v>16</v>
      </c>
      <c r="AM243" s="27" t="s">
        <v>39</v>
      </c>
      <c r="AN243" s="26"/>
      <c r="AO243" s="26"/>
      <c r="AP243" s="26"/>
      <c r="AQ243" s="26"/>
      <c r="AU243" s="28" t="s">
        <v>18</v>
      </c>
      <c r="AV243" s="27" t="s">
        <v>34</v>
      </c>
      <c r="AW243" s="26"/>
      <c r="AX243" s="26"/>
      <c r="AY243" s="26"/>
      <c r="AZ243" s="26"/>
      <c r="BA243" s="232" t="s">
        <v>102</v>
      </c>
      <c r="BB243" s="233"/>
      <c r="BD243" s="13">
        <v>2.2000000000000002</v>
      </c>
      <c r="BE243" s="13">
        <v>10</v>
      </c>
      <c r="BF243" s="13">
        <v>200</v>
      </c>
      <c r="BG243" s="13">
        <v>2</v>
      </c>
      <c r="BH243" s="14">
        <f t="shared" si="77"/>
        <v>8.8000000000000005E-3</v>
      </c>
      <c r="BI243" s="13">
        <f>SUM(BG237:BG243)</f>
        <v>49</v>
      </c>
      <c r="BJ243" s="14">
        <f>SUM(BH237:BH243)</f>
        <v>0.42085</v>
      </c>
      <c r="BK243" s="13"/>
      <c r="BM243" s="13">
        <v>4.5</v>
      </c>
      <c r="BN243" s="13">
        <v>25</v>
      </c>
      <c r="BO243" s="13">
        <v>400</v>
      </c>
      <c r="BP243" s="13">
        <v>1</v>
      </c>
      <c r="BQ243" s="14">
        <f t="shared" si="88"/>
        <v>4.4999999999999998E-2</v>
      </c>
      <c r="BR243" s="13"/>
      <c r="BS243" s="14"/>
      <c r="BT243" s="13"/>
      <c r="BV243" s="13">
        <v>1.7</v>
      </c>
      <c r="BW243" s="13">
        <v>10</v>
      </c>
      <c r="BX243" s="13">
        <v>400</v>
      </c>
      <c r="BY243" s="13">
        <v>13</v>
      </c>
      <c r="BZ243" s="14">
        <f t="shared" si="83"/>
        <v>8.8400000000000006E-2</v>
      </c>
      <c r="CA243" s="13"/>
      <c r="CB243" s="14"/>
      <c r="CC243" s="13"/>
      <c r="CE243" s="13">
        <v>5</v>
      </c>
      <c r="CF243" s="13">
        <v>10</v>
      </c>
      <c r="CG243" s="13">
        <v>250</v>
      </c>
      <c r="CH243" s="13">
        <v>1</v>
      </c>
      <c r="CI243" s="14">
        <f t="shared" si="72"/>
        <v>1.2500000000000001E-2</v>
      </c>
      <c r="CJ243" s="13"/>
      <c r="CK243" s="14"/>
      <c r="CL243" s="13"/>
      <c r="CN243" s="13">
        <v>10</v>
      </c>
      <c r="CO243" s="13">
        <v>20</v>
      </c>
      <c r="CP243" s="13">
        <v>400</v>
      </c>
      <c r="CQ243" s="13">
        <v>3</v>
      </c>
      <c r="CR243" s="14">
        <f t="shared" si="89"/>
        <v>0.24</v>
      </c>
      <c r="CS243" s="13"/>
      <c r="CT243" s="14"/>
      <c r="CU243" s="13"/>
      <c r="DF243" s="13">
        <v>4.5</v>
      </c>
      <c r="DG243" s="13">
        <v>10</v>
      </c>
      <c r="DH243" s="61">
        <v>400</v>
      </c>
      <c r="DI243" s="13">
        <v>237</v>
      </c>
      <c r="DJ243" s="14">
        <f t="shared" si="86"/>
        <v>4.266</v>
      </c>
      <c r="DK243" s="13"/>
      <c r="DL243" s="14"/>
      <c r="DM243" s="41"/>
    </row>
    <row r="244" spans="2:117" ht="17.25" thickTop="1" thickBot="1" x14ac:dyDescent="0.3">
      <c r="B244" s="4"/>
      <c r="C244" s="4"/>
      <c r="D244" s="16"/>
      <c r="E244" s="15"/>
      <c r="F244" s="4"/>
      <c r="G244" s="4"/>
      <c r="H244" s="4"/>
      <c r="I244" s="4"/>
      <c r="K244" s="13">
        <v>15</v>
      </c>
      <c r="L244" s="13">
        <v>15</v>
      </c>
      <c r="M244" s="13">
        <v>400</v>
      </c>
      <c r="N244" s="13">
        <v>1</v>
      </c>
      <c r="O244" s="14">
        <f t="shared" ref="O244:O271" si="90">K244*L244*M244*N244/1000000</f>
        <v>0.09</v>
      </c>
      <c r="P244" s="13">
        <f>SUM(N244)</f>
        <v>1</v>
      </c>
      <c r="Q244" s="14">
        <f>SUM(O244)</f>
        <v>0.09</v>
      </c>
      <c r="R244" s="13"/>
      <c r="T244" s="13">
        <v>1.7</v>
      </c>
      <c r="U244" s="13">
        <v>13</v>
      </c>
      <c r="V244" s="13">
        <v>400</v>
      </c>
      <c r="W244" s="13">
        <v>2</v>
      </c>
      <c r="X244" s="14">
        <f t="shared" si="80"/>
        <v>1.7680000000000001E-2</v>
      </c>
      <c r="Y244" s="13">
        <f>SUM(W242:W244)</f>
        <v>5</v>
      </c>
      <c r="Z244" s="14">
        <f>SUM(X242:X244)</f>
        <v>5.2360000000000004E-2</v>
      </c>
      <c r="AA244" s="13"/>
      <c r="AC244" s="13">
        <v>8</v>
      </c>
      <c r="AD244" s="13">
        <v>15</v>
      </c>
      <c r="AE244" s="13">
        <v>400</v>
      </c>
      <c r="AF244" s="13">
        <v>1</v>
      </c>
      <c r="AG244" s="14">
        <f t="shared" si="85"/>
        <v>4.8000000000000001E-2</v>
      </c>
      <c r="AH244" s="13"/>
      <c r="AI244" s="14"/>
      <c r="AJ244" s="13"/>
      <c r="AL244" s="43"/>
      <c r="AM244" s="25"/>
      <c r="AN244" s="25"/>
      <c r="AO244" s="25"/>
      <c r="AP244" s="25"/>
      <c r="AQ244" s="225" t="s">
        <v>38</v>
      </c>
      <c r="AR244" s="225"/>
      <c r="AS244" s="225"/>
      <c r="AU244" s="28" t="s">
        <v>16</v>
      </c>
      <c r="AV244" s="27" t="s">
        <v>39</v>
      </c>
      <c r="AW244" s="26"/>
      <c r="AX244" s="26"/>
      <c r="AY244" s="26"/>
      <c r="AZ244" s="26"/>
      <c r="BA244" s="234"/>
      <c r="BB244" s="235"/>
      <c r="BD244" s="237" t="s">
        <v>52</v>
      </c>
      <c r="BE244" s="237"/>
      <c r="BF244" s="238"/>
      <c r="BG244" s="98">
        <f>SUM(BG203:BG243)</f>
        <v>1411</v>
      </c>
      <c r="BH244" s="48">
        <f>SUM(BH203:BH243)</f>
        <v>12.455930000000002</v>
      </c>
      <c r="BI244" s="98">
        <f>SUM(BI203:BI243)</f>
        <v>1411</v>
      </c>
      <c r="BJ244" s="48">
        <f>SUM(BJ203:BJ243)</f>
        <v>12.45593</v>
      </c>
      <c r="BK244" s="104"/>
      <c r="BM244" s="13">
        <v>13</v>
      </c>
      <c r="BN244" s="13">
        <v>20</v>
      </c>
      <c r="BO244" s="13">
        <v>400</v>
      </c>
      <c r="BP244" s="13">
        <v>1</v>
      </c>
      <c r="BQ244" s="14">
        <f t="shared" si="88"/>
        <v>0.104</v>
      </c>
      <c r="BR244" s="13"/>
      <c r="BS244" s="14"/>
      <c r="BT244" s="13"/>
      <c r="BV244" s="13">
        <v>3.5</v>
      </c>
      <c r="BW244" s="13">
        <v>10</v>
      </c>
      <c r="BX244" s="13">
        <v>400</v>
      </c>
      <c r="BY244" s="13">
        <v>9</v>
      </c>
      <c r="BZ244" s="14">
        <f t="shared" si="83"/>
        <v>0.126</v>
      </c>
      <c r="CA244" s="13"/>
      <c r="CB244" s="14"/>
      <c r="CC244" s="13"/>
      <c r="CE244" s="13">
        <v>3</v>
      </c>
      <c r="CF244" s="13">
        <v>15</v>
      </c>
      <c r="CG244" s="13">
        <v>250</v>
      </c>
      <c r="CH244" s="13">
        <v>2</v>
      </c>
      <c r="CI244" s="14">
        <f t="shared" si="72"/>
        <v>2.2499999999999999E-2</v>
      </c>
      <c r="CJ244" s="13"/>
      <c r="CK244" s="14"/>
      <c r="CL244" s="13"/>
      <c r="CN244" s="13">
        <v>10</v>
      </c>
      <c r="CO244" s="13">
        <v>25</v>
      </c>
      <c r="CP244" s="13">
        <v>400</v>
      </c>
      <c r="CQ244" s="13">
        <v>5</v>
      </c>
      <c r="CR244" s="14">
        <f t="shared" si="89"/>
        <v>0.5</v>
      </c>
      <c r="CS244" s="13"/>
      <c r="CT244" s="14"/>
      <c r="CU244" s="13"/>
      <c r="CW244" s="231" t="s">
        <v>19</v>
      </c>
      <c r="CX244" s="231"/>
      <c r="CY244" s="231"/>
      <c r="CZ244" s="231"/>
      <c r="DA244" s="231"/>
      <c r="DB244" s="231"/>
      <c r="DC244" s="231"/>
      <c r="DD244" s="231"/>
      <c r="DF244" s="13">
        <v>2.2000000000000002</v>
      </c>
      <c r="DG244" s="13">
        <v>10</v>
      </c>
      <c r="DH244" s="61">
        <v>400</v>
      </c>
      <c r="DI244" s="13">
        <v>102</v>
      </c>
      <c r="DJ244" s="14">
        <f t="shared" si="86"/>
        <v>0.89759999999999995</v>
      </c>
      <c r="DK244" s="37"/>
      <c r="DL244" s="36"/>
      <c r="DM244" s="41"/>
    </row>
    <row r="245" spans="2:117" ht="17.25" thickTop="1" thickBot="1" x14ac:dyDescent="0.3">
      <c r="B245" s="84"/>
      <c r="C245" s="77"/>
      <c r="D245" s="77"/>
      <c r="E245" s="117"/>
      <c r="K245" s="13">
        <v>12</v>
      </c>
      <c r="L245" s="13">
        <v>20</v>
      </c>
      <c r="M245" s="13">
        <v>400</v>
      </c>
      <c r="N245" s="13">
        <v>1</v>
      </c>
      <c r="O245" s="14">
        <f t="shared" si="90"/>
        <v>9.6000000000000002E-2</v>
      </c>
      <c r="P245" s="13"/>
      <c r="Q245" s="14"/>
      <c r="R245" s="13"/>
      <c r="T245" s="237"/>
      <c r="U245" s="237"/>
      <c r="V245" s="238"/>
      <c r="W245" s="17">
        <f>SUM(W210:W244)</f>
        <v>825</v>
      </c>
      <c r="X245" s="32">
        <f>SUM(X210:X244)</f>
        <v>12.237759999999998</v>
      </c>
      <c r="Y245" s="17">
        <f>SUM(Y210:Y244)</f>
        <v>825</v>
      </c>
      <c r="Z245" s="32">
        <f>SUM(Z210:Z244)</f>
        <v>12.237759999999998</v>
      </c>
      <c r="AA245" s="17"/>
      <c r="AC245" s="13">
        <v>8</v>
      </c>
      <c r="AD245" s="13">
        <v>10</v>
      </c>
      <c r="AE245" s="13">
        <v>400</v>
      </c>
      <c r="AF245" s="13">
        <v>2</v>
      </c>
      <c r="AG245" s="14">
        <f t="shared" si="85"/>
        <v>6.4000000000000001E-2</v>
      </c>
      <c r="AH245" s="13">
        <f>SUM(AF244:AF245)</f>
        <v>3</v>
      </c>
      <c r="AI245" s="14">
        <f>SUM(AG244:AG245)</f>
        <v>0.112</v>
      </c>
      <c r="AJ245" s="13"/>
      <c r="AL245" s="226" t="s">
        <v>13</v>
      </c>
      <c r="AM245" s="227"/>
      <c r="AN245" s="228"/>
      <c r="AO245" s="227" t="s">
        <v>12</v>
      </c>
      <c r="AP245" s="228"/>
      <c r="AQ245" s="227" t="s">
        <v>12</v>
      </c>
      <c r="AR245" s="228"/>
      <c r="AS245" s="229" t="s">
        <v>11</v>
      </c>
      <c r="AU245" s="43"/>
      <c r="AV245" s="25"/>
      <c r="AW245" s="25"/>
      <c r="AX245" s="25"/>
      <c r="AY245" s="25"/>
      <c r="AZ245" s="225" t="s">
        <v>96</v>
      </c>
      <c r="BA245" s="225"/>
      <c r="BB245" s="225"/>
      <c r="BM245" s="13">
        <v>10</v>
      </c>
      <c r="BN245" s="13">
        <v>20</v>
      </c>
      <c r="BO245" s="13">
        <v>400</v>
      </c>
      <c r="BP245" s="13">
        <v>1</v>
      </c>
      <c r="BQ245" s="14">
        <f t="shared" si="88"/>
        <v>0.08</v>
      </c>
      <c r="BR245" s="13"/>
      <c r="BS245" s="14"/>
      <c r="BT245" s="13"/>
      <c r="BV245" s="13">
        <v>8</v>
      </c>
      <c r="BW245" s="13">
        <v>10</v>
      </c>
      <c r="BX245" s="13">
        <v>400</v>
      </c>
      <c r="BY245" s="13">
        <v>1</v>
      </c>
      <c r="BZ245" s="14">
        <f t="shared" si="83"/>
        <v>3.2000000000000001E-2</v>
      </c>
      <c r="CA245" s="13"/>
      <c r="CB245" s="14"/>
      <c r="CC245" s="13"/>
      <c r="CE245" s="13">
        <v>2</v>
      </c>
      <c r="CF245" s="13">
        <v>10</v>
      </c>
      <c r="CG245" s="13">
        <v>200</v>
      </c>
      <c r="CH245" s="13">
        <v>2</v>
      </c>
      <c r="CI245" s="14">
        <f t="shared" si="72"/>
        <v>8.0000000000000002E-3</v>
      </c>
      <c r="CJ245" s="13"/>
      <c r="CK245" s="14"/>
      <c r="CL245" s="13"/>
      <c r="CN245" s="13">
        <v>13</v>
      </c>
      <c r="CO245" s="13">
        <v>25</v>
      </c>
      <c r="CP245" s="13">
        <v>400</v>
      </c>
      <c r="CQ245" s="13">
        <v>1</v>
      </c>
      <c r="CR245" s="14">
        <f t="shared" si="89"/>
        <v>0.13</v>
      </c>
      <c r="CS245" s="13"/>
      <c r="CT245" s="14"/>
      <c r="CU245" s="13"/>
      <c r="CW245" s="231"/>
      <c r="CX245" s="231"/>
      <c r="CY245" s="231"/>
      <c r="CZ245" s="231"/>
      <c r="DA245" s="231"/>
      <c r="DB245" s="231"/>
      <c r="DC245" s="231"/>
      <c r="DD245" s="231"/>
      <c r="DF245" s="13">
        <v>10</v>
      </c>
      <c r="DG245" s="13">
        <v>10</v>
      </c>
      <c r="DH245" s="61">
        <v>400</v>
      </c>
      <c r="DI245" s="13">
        <v>14</v>
      </c>
      <c r="DJ245" s="14">
        <f t="shared" si="86"/>
        <v>0.56000000000000005</v>
      </c>
      <c r="DK245" s="13"/>
      <c r="DL245" s="14"/>
      <c r="DM245" s="13"/>
    </row>
    <row r="246" spans="2:117" ht="16.5" thickTop="1" x14ac:dyDescent="0.25">
      <c r="B246" s="77"/>
      <c r="C246" s="115"/>
      <c r="D246" s="116"/>
      <c r="E246" s="117"/>
      <c r="K246" s="13">
        <v>12</v>
      </c>
      <c r="L246" s="13">
        <v>15</v>
      </c>
      <c r="M246" s="13">
        <v>400</v>
      </c>
      <c r="N246" s="13">
        <v>7</v>
      </c>
      <c r="O246" s="14">
        <f t="shared" si="90"/>
        <v>0.504</v>
      </c>
      <c r="P246" s="13">
        <f>SUM(N245:N246)</f>
        <v>8</v>
      </c>
      <c r="Q246" s="14">
        <f>SUM(O245:O246)</f>
        <v>0.6</v>
      </c>
      <c r="R246" s="13"/>
      <c r="AC246" s="13">
        <v>7</v>
      </c>
      <c r="AD246" s="13">
        <v>15</v>
      </c>
      <c r="AE246" s="13">
        <v>400</v>
      </c>
      <c r="AF246" s="13">
        <v>2</v>
      </c>
      <c r="AG246" s="14">
        <f t="shared" si="85"/>
        <v>8.4000000000000005E-2</v>
      </c>
      <c r="AH246" s="13"/>
      <c r="AI246" s="14"/>
      <c r="AJ246" s="13"/>
      <c r="AL246" s="24" t="s">
        <v>10</v>
      </c>
      <c r="AM246" s="23" t="s">
        <v>9</v>
      </c>
      <c r="AN246" s="23" t="s">
        <v>8</v>
      </c>
      <c r="AO246" s="22" t="s">
        <v>7</v>
      </c>
      <c r="AP246" s="21" t="s">
        <v>6</v>
      </c>
      <c r="AQ246" s="22" t="s">
        <v>7</v>
      </c>
      <c r="AR246" s="21" t="s">
        <v>6</v>
      </c>
      <c r="AS246" s="230"/>
      <c r="AU246" s="226" t="s">
        <v>13</v>
      </c>
      <c r="AV246" s="227"/>
      <c r="AW246" s="228"/>
      <c r="AX246" s="227" t="s">
        <v>12</v>
      </c>
      <c r="AY246" s="228"/>
      <c r="AZ246" s="227" t="s">
        <v>12</v>
      </c>
      <c r="BA246" s="228"/>
      <c r="BB246" s="229" t="s">
        <v>11</v>
      </c>
      <c r="BD246" s="231" t="s">
        <v>19</v>
      </c>
      <c r="BE246" s="231"/>
      <c r="BF246" s="231"/>
      <c r="BG246" s="231"/>
      <c r="BH246" s="231"/>
      <c r="BI246" s="231"/>
      <c r="BJ246" s="231"/>
      <c r="BK246" s="231"/>
      <c r="BM246" s="13">
        <v>7</v>
      </c>
      <c r="BN246" s="13">
        <v>20</v>
      </c>
      <c r="BO246" s="13">
        <v>400</v>
      </c>
      <c r="BP246" s="13">
        <v>1</v>
      </c>
      <c r="BQ246" s="14">
        <f t="shared" si="88"/>
        <v>5.6000000000000001E-2</v>
      </c>
      <c r="BR246" s="13"/>
      <c r="BS246" s="14"/>
      <c r="BT246" s="13"/>
      <c r="BV246" s="13">
        <v>10</v>
      </c>
      <c r="BW246" s="13">
        <v>10</v>
      </c>
      <c r="BX246" s="13">
        <v>400</v>
      </c>
      <c r="BY246" s="13">
        <v>2</v>
      </c>
      <c r="BZ246" s="14">
        <f t="shared" si="83"/>
        <v>0.08</v>
      </c>
      <c r="CA246" s="13"/>
      <c r="CB246" s="14"/>
      <c r="CC246" s="13"/>
      <c r="CE246" s="13">
        <v>3</v>
      </c>
      <c r="CF246" s="13">
        <v>10</v>
      </c>
      <c r="CG246" s="13">
        <v>200</v>
      </c>
      <c r="CH246" s="13">
        <v>1</v>
      </c>
      <c r="CI246" s="14">
        <f t="shared" si="72"/>
        <v>6.0000000000000001E-3</v>
      </c>
      <c r="CJ246" s="13"/>
      <c r="CK246" s="14"/>
      <c r="CL246" s="13"/>
      <c r="CN246" s="13">
        <v>10</v>
      </c>
      <c r="CO246" s="13">
        <v>15</v>
      </c>
      <c r="CP246" s="13">
        <v>400</v>
      </c>
      <c r="CQ246" s="13">
        <v>5</v>
      </c>
      <c r="CR246" s="14">
        <f t="shared" si="89"/>
        <v>0.3</v>
      </c>
      <c r="CS246" s="13"/>
      <c r="CT246" s="14"/>
      <c r="CU246" s="41"/>
      <c r="CW246" s="28" t="s">
        <v>18</v>
      </c>
      <c r="CX246" s="27" t="s">
        <v>74</v>
      </c>
      <c r="CY246" s="26"/>
      <c r="CZ246" s="26"/>
      <c r="DA246" s="26"/>
      <c r="DB246" s="26"/>
      <c r="DC246" s="236"/>
      <c r="DD246" s="236"/>
      <c r="DF246" s="13">
        <v>7</v>
      </c>
      <c r="DG246" s="13">
        <v>10</v>
      </c>
      <c r="DH246" s="61">
        <v>400</v>
      </c>
      <c r="DI246" s="13">
        <v>4</v>
      </c>
      <c r="DJ246" s="14">
        <f t="shared" si="86"/>
        <v>0.112</v>
      </c>
      <c r="DK246" s="13">
        <f>SUM(DI222:DI246)</f>
        <v>463</v>
      </c>
      <c r="DL246" s="95">
        <f>SUM(DJ222:DJ246)</f>
        <v>12.169200000000004</v>
      </c>
      <c r="DM246" s="13"/>
    </row>
    <row r="247" spans="2:117" ht="16.5" thickBot="1" x14ac:dyDescent="0.3">
      <c r="B247" s="77"/>
      <c r="C247" s="115"/>
      <c r="D247" s="116"/>
      <c r="E247" s="117"/>
      <c r="K247" s="13">
        <v>10</v>
      </c>
      <c r="L247" s="13">
        <v>20</v>
      </c>
      <c r="M247" s="13">
        <v>400</v>
      </c>
      <c r="N247" s="13">
        <v>1</v>
      </c>
      <c r="O247" s="14">
        <f t="shared" si="90"/>
        <v>0.08</v>
      </c>
      <c r="P247" s="13"/>
      <c r="Q247" s="14"/>
      <c r="R247" s="13"/>
      <c r="T247" s="231" t="s">
        <v>19</v>
      </c>
      <c r="U247" s="231"/>
      <c r="V247" s="231"/>
      <c r="W247" s="231"/>
      <c r="X247" s="231"/>
      <c r="Y247" s="231"/>
      <c r="Z247" s="231"/>
      <c r="AA247" s="231"/>
      <c r="AC247" s="13">
        <v>7</v>
      </c>
      <c r="AD247" s="13">
        <v>10</v>
      </c>
      <c r="AE247" s="13">
        <v>400</v>
      </c>
      <c r="AF247" s="13">
        <v>1</v>
      </c>
      <c r="AG247" s="14">
        <f t="shared" si="85"/>
        <v>2.8000000000000001E-2</v>
      </c>
      <c r="AH247" s="13"/>
      <c r="AI247" s="14"/>
      <c r="AJ247" s="13"/>
      <c r="AL247" s="61">
        <v>15</v>
      </c>
      <c r="AM247" s="61">
        <v>37</v>
      </c>
      <c r="AN247" s="61">
        <v>400</v>
      </c>
      <c r="AO247" s="61">
        <v>1</v>
      </c>
      <c r="AP247" s="63">
        <f t="shared" ref="AP247:AP278" si="91">AL247*AM247*AN247*AO247/1000000</f>
        <v>0.222</v>
      </c>
      <c r="AQ247" s="61"/>
      <c r="AR247" s="63"/>
      <c r="AS247" s="61"/>
      <c r="AU247" s="24" t="s">
        <v>10</v>
      </c>
      <c r="AV247" s="23" t="s">
        <v>9</v>
      </c>
      <c r="AW247" s="23" t="s">
        <v>8</v>
      </c>
      <c r="AX247" s="22" t="s">
        <v>7</v>
      </c>
      <c r="AY247" s="21" t="s">
        <v>6</v>
      </c>
      <c r="AZ247" s="22" t="s">
        <v>7</v>
      </c>
      <c r="BA247" s="21" t="s">
        <v>6</v>
      </c>
      <c r="BB247" s="230"/>
      <c r="BD247" s="231"/>
      <c r="BE247" s="231"/>
      <c r="BF247" s="231"/>
      <c r="BG247" s="231"/>
      <c r="BH247" s="231"/>
      <c r="BI247" s="231"/>
      <c r="BJ247" s="231"/>
      <c r="BK247" s="231"/>
      <c r="BM247" s="13">
        <v>4.5</v>
      </c>
      <c r="BN247" s="13">
        <v>20</v>
      </c>
      <c r="BO247" s="13">
        <v>400</v>
      </c>
      <c r="BP247" s="13">
        <v>1</v>
      </c>
      <c r="BQ247" s="14">
        <f t="shared" si="88"/>
        <v>3.5999999999999997E-2</v>
      </c>
      <c r="BR247" s="13"/>
      <c r="BS247" s="14"/>
      <c r="BT247" s="13"/>
      <c r="BV247" s="122">
        <v>5</v>
      </c>
      <c r="BW247" s="122">
        <v>7</v>
      </c>
      <c r="BX247" s="122">
        <v>400</v>
      </c>
      <c r="BY247" s="122">
        <v>156</v>
      </c>
      <c r="BZ247" s="123">
        <f t="shared" si="83"/>
        <v>2.1840000000000002</v>
      </c>
      <c r="CA247" s="122">
        <f>SUM(BY216:BY247)</f>
        <v>468</v>
      </c>
      <c r="CB247" s="123">
        <f>SUM(BZ216:BZ247)</f>
        <v>12.517199999999999</v>
      </c>
      <c r="CC247" s="126" t="s">
        <v>23</v>
      </c>
      <c r="CE247" s="13">
        <v>3</v>
      </c>
      <c r="CF247" s="13">
        <v>15</v>
      </c>
      <c r="CG247" s="13">
        <v>200</v>
      </c>
      <c r="CH247" s="13">
        <v>1</v>
      </c>
      <c r="CI247" s="14">
        <f t="shared" si="72"/>
        <v>8.9999999999999993E-3</v>
      </c>
      <c r="CJ247" s="13"/>
      <c r="CK247" s="14"/>
      <c r="CL247" s="13"/>
      <c r="CN247" s="13">
        <v>6</v>
      </c>
      <c r="CO247" s="13">
        <v>20</v>
      </c>
      <c r="CP247" s="13">
        <v>400</v>
      </c>
      <c r="CQ247" s="13">
        <v>2</v>
      </c>
      <c r="CR247" s="14">
        <f t="shared" si="89"/>
        <v>9.6000000000000002E-2</v>
      </c>
      <c r="CS247" s="13"/>
      <c r="CT247" s="14"/>
      <c r="CU247" s="41"/>
      <c r="CW247" s="28" t="s">
        <v>16</v>
      </c>
      <c r="CX247" s="27" t="s">
        <v>93</v>
      </c>
      <c r="CY247" s="26"/>
      <c r="CZ247" s="26"/>
      <c r="DA247" s="26"/>
      <c r="DB247" s="26"/>
      <c r="DC247" s="236"/>
      <c r="DD247" s="236"/>
      <c r="DF247" s="115"/>
      <c r="DG247" s="115"/>
      <c r="DH247" s="115"/>
      <c r="DI247" s="17">
        <f>SUM(DI222:DI246)</f>
        <v>463</v>
      </c>
      <c r="DJ247" s="32">
        <f>SUM(DJ222:DJ246)</f>
        <v>12.169200000000004</v>
      </c>
      <c r="DK247" s="17">
        <f>SUM(DK222:DK246)</f>
        <v>463</v>
      </c>
      <c r="DL247" s="32">
        <f>SUM(DL222:DL246)</f>
        <v>12.169200000000004</v>
      </c>
      <c r="DM247" s="146" t="s">
        <v>23</v>
      </c>
    </row>
    <row r="248" spans="2:117" ht="17.25" thickTop="1" thickBot="1" x14ac:dyDescent="0.3">
      <c r="B248" s="77"/>
      <c r="C248" s="106"/>
      <c r="D248" s="118"/>
      <c r="E248" s="117"/>
      <c r="K248" s="13">
        <v>10</v>
      </c>
      <c r="L248" s="13">
        <v>15</v>
      </c>
      <c r="M248" s="13">
        <v>400</v>
      </c>
      <c r="N248" s="13">
        <v>3</v>
      </c>
      <c r="O248" s="14">
        <f t="shared" si="90"/>
        <v>0.18</v>
      </c>
      <c r="P248" s="13"/>
      <c r="Q248" s="14"/>
      <c r="R248" s="13"/>
      <c r="T248" s="231"/>
      <c r="U248" s="231"/>
      <c r="V248" s="231"/>
      <c r="W248" s="231"/>
      <c r="X248" s="231"/>
      <c r="Y248" s="231"/>
      <c r="Z248" s="231"/>
      <c r="AA248" s="231"/>
      <c r="AC248" s="13">
        <v>7</v>
      </c>
      <c r="AD248" s="13">
        <v>10</v>
      </c>
      <c r="AE248" s="13">
        <v>300</v>
      </c>
      <c r="AF248" s="13">
        <v>1</v>
      </c>
      <c r="AG248" s="14">
        <f t="shared" si="85"/>
        <v>2.1000000000000001E-2</v>
      </c>
      <c r="AH248" s="13">
        <f>SUM(AF246:AF248)</f>
        <v>4</v>
      </c>
      <c r="AI248" s="14">
        <f>SUM(AG246:AG248)</f>
        <v>0.13300000000000001</v>
      </c>
      <c r="AJ248" s="13"/>
      <c r="AL248" s="61">
        <v>15</v>
      </c>
      <c r="AM248" s="61">
        <v>17</v>
      </c>
      <c r="AN248" s="61">
        <v>400</v>
      </c>
      <c r="AO248" s="61">
        <v>2</v>
      </c>
      <c r="AP248" s="63">
        <f t="shared" si="91"/>
        <v>0.20399999999999999</v>
      </c>
      <c r="AQ248" s="61"/>
      <c r="AR248" s="63"/>
      <c r="AS248" s="61"/>
      <c r="AU248" s="13">
        <v>6</v>
      </c>
      <c r="AV248" s="13">
        <v>15</v>
      </c>
      <c r="AW248" s="13">
        <v>400</v>
      </c>
      <c r="AX248" s="13">
        <v>1</v>
      </c>
      <c r="AY248" s="14">
        <f t="shared" ref="AY248:AY257" si="92">AU248*AV248*AW248*AX248/1000000</f>
        <v>3.5999999999999997E-2</v>
      </c>
      <c r="AZ248" s="13"/>
      <c r="BA248" s="14"/>
      <c r="BB248" s="13"/>
      <c r="BD248" s="28" t="s">
        <v>18</v>
      </c>
      <c r="BE248" s="27" t="s">
        <v>34</v>
      </c>
      <c r="BF248" s="26"/>
      <c r="BG248" s="26"/>
      <c r="BH248" s="26"/>
      <c r="BI248" s="26"/>
      <c r="BJ248" s="26"/>
      <c r="BK248" s="26"/>
      <c r="BM248" s="13">
        <v>3.5</v>
      </c>
      <c r="BN248" s="13">
        <v>20</v>
      </c>
      <c r="BO248" s="13">
        <v>400</v>
      </c>
      <c r="BP248" s="13">
        <v>2</v>
      </c>
      <c r="BQ248" s="14">
        <f t="shared" si="88"/>
        <v>5.6000000000000001E-2</v>
      </c>
      <c r="BR248" s="13"/>
      <c r="BS248" s="14"/>
      <c r="BT248" s="13"/>
      <c r="BV248" s="149"/>
      <c r="BW248" s="149"/>
      <c r="BX248" s="149"/>
      <c r="BY248" s="17">
        <f>SUM(BY216:BY247)</f>
        <v>468</v>
      </c>
      <c r="BZ248" s="48">
        <f>SUM(BZ216:BZ247)</f>
        <v>12.517199999999999</v>
      </c>
      <c r="CA248" s="17">
        <f>SUM(CA216:CA247)</f>
        <v>468</v>
      </c>
      <c r="CB248" s="48">
        <f>SUM(CB216:CB247)</f>
        <v>12.517199999999999</v>
      </c>
      <c r="CC248" s="146"/>
      <c r="CE248" s="13">
        <v>3</v>
      </c>
      <c r="CF248" s="13">
        <v>12</v>
      </c>
      <c r="CG248" s="13">
        <v>200</v>
      </c>
      <c r="CH248" s="13">
        <v>2</v>
      </c>
      <c r="CI248" s="14">
        <f t="shared" si="72"/>
        <v>1.44E-2</v>
      </c>
      <c r="CJ248" s="37">
        <f>SUM(CH235:CH248)</f>
        <v>38</v>
      </c>
      <c r="CK248" s="36">
        <f>SUM(CI235:CI248)</f>
        <v>0.28439999999999999</v>
      </c>
      <c r="CL248" s="41" t="s">
        <v>21</v>
      </c>
      <c r="CN248" s="13">
        <v>12.5</v>
      </c>
      <c r="CO248" s="13">
        <v>15</v>
      </c>
      <c r="CP248" s="13">
        <v>400</v>
      </c>
      <c r="CQ248" s="13">
        <v>1</v>
      </c>
      <c r="CR248" s="14">
        <f t="shared" si="89"/>
        <v>7.4999999999999997E-2</v>
      </c>
      <c r="CS248" s="13"/>
      <c r="CT248" s="14"/>
      <c r="CU248" s="41"/>
      <c r="CW248" s="43"/>
      <c r="CX248" s="25"/>
      <c r="CY248" s="25"/>
      <c r="CZ248" s="25"/>
      <c r="DA248" s="25"/>
      <c r="DB248" s="225" t="s">
        <v>174</v>
      </c>
      <c r="DC248" s="225"/>
      <c r="DD248" s="225"/>
    </row>
    <row r="249" spans="2:117" ht="17.25" thickTop="1" thickBot="1" x14ac:dyDescent="0.3">
      <c r="K249" s="13">
        <v>10</v>
      </c>
      <c r="L249" s="13">
        <v>13</v>
      </c>
      <c r="M249" s="13">
        <v>400</v>
      </c>
      <c r="N249" s="13">
        <v>1</v>
      </c>
      <c r="O249" s="14">
        <f t="shared" si="90"/>
        <v>5.1999999999999998E-2</v>
      </c>
      <c r="P249" s="13">
        <f>SUM(N247:N249)</f>
        <v>5</v>
      </c>
      <c r="Q249" s="14">
        <f>SUM(O247:O249)</f>
        <v>0.312</v>
      </c>
      <c r="R249" s="13"/>
      <c r="T249" s="28" t="s">
        <v>18</v>
      </c>
      <c r="U249" s="27" t="s">
        <v>17</v>
      </c>
      <c r="V249" s="26"/>
      <c r="W249" s="26"/>
      <c r="X249" s="26"/>
      <c r="Y249" s="26"/>
      <c r="Z249" s="26"/>
      <c r="AA249" s="26"/>
      <c r="AC249" s="13">
        <v>6</v>
      </c>
      <c r="AD249" s="13">
        <v>15</v>
      </c>
      <c r="AE249" s="13">
        <v>400</v>
      </c>
      <c r="AF249" s="13">
        <v>3</v>
      </c>
      <c r="AG249" s="14">
        <f t="shared" si="85"/>
        <v>0.108</v>
      </c>
      <c r="AH249" s="13"/>
      <c r="AI249" s="14"/>
      <c r="AJ249" s="13"/>
      <c r="AL249" s="61">
        <v>15</v>
      </c>
      <c r="AM249" s="61">
        <v>21</v>
      </c>
      <c r="AN249" s="61">
        <v>400</v>
      </c>
      <c r="AO249" s="61">
        <v>6</v>
      </c>
      <c r="AP249" s="63">
        <f t="shared" si="91"/>
        <v>0.75600000000000001</v>
      </c>
      <c r="AQ249" s="61"/>
      <c r="AR249" s="63"/>
      <c r="AS249" s="61"/>
      <c r="AU249" s="13">
        <v>6</v>
      </c>
      <c r="AV249" s="13">
        <v>12</v>
      </c>
      <c r="AW249" s="13">
        <v>400</v>
      </c>
      <c r="AX249" s="13">
        <v>2</v>
      </c>
      <c r="AY249" s="14">
        <f t="shared" si="92"/>
        <v>5.7599999999999998E-2</v>
      </c>
      <c r="AZ249" s="13"/>
      <c r="BA249" s="14"/>
      <c r="BB249" s="13"/>
      <c r="BD249" s="28" t="s">
        <v>16</v>
      </c>
      <c r="BE249" s="27" t="s">
        <v>33</v>
      </c>
      <c r="BF249" s="26"/>
      <c r="BG249" s="26"/>
      <c r="BH249" s="26"/>
      <c r="BI249" s="26"/>
      <c r="BJ249" s="26"/>
      <c r="BK249" s="26"/>
      <c r="BM249" s="13">
        <v>2.2000000000000002</v>
      </c>
      <c r="BN249" s="13">
        <v>20</v>
      </c>
      <c r="BO249" s="13">
        <v>400</v>
      </c>
      <c r="BP249" s="13">
        <v>1</v>
      </c>
      <c r="BQ249" s="14">
        <f t="shared" si="88"/>
        <v>1.7600000000000001E-2</v>
      </c>
      <c r="BR249" s="13"/>
      <c r="BS249" s="14"/>
      <c r="BT249" s="13"/>
      <c r="BV249" s="149"/>
      <c r="BW249" s="149"/>
      <c r="BX249" s="149"/>
      <c r="BY249" s="149"/>
      <c r="BZ249" s="150"/>
      <c r="CA249" s="149"/>
      <c r="CB249" s="150"/>
      <c r="CC249" s="151"/>
      <c r="CE249" s="115"/>
      <c r="CF249" s="115"/>
      <c r="CG249" s="115"/>
      <c r="CH249" s="17">
        <f>SUM(CH188:CH248)</f>
        <v>685</v>
      </c>
      <c r="CI249" s="48">
        <f>SUM(CI188:CI248)</f>
        <v>12.840310000000004</v>
      </c>
      <c r="CJ249" s="17">
        <f>SUM(CJ188:CJ248)</f>
        <v>685</v>
      </c>
      <c r="CK249" s="48">
        <f>SUM(CK188:CK248)</f>
        <v>12.840310000000002</v>
      </c>
      <c r="CL249" s="146"/>
      <c r="CN249" s="13">
        <v>6</v>
      </c>
      <c r="CO249" s="13">
        <v>15</v>
      </c>
      <c r="CP249" s="13">
        <v>400</v>
      </c>
      <c r="CQ249" s="13">
        <v>2</v>
      </c>
      <c r="CR249" s="14">
        <f t="shared" si="89"/>
        <v>7.1999999999999995E-2</v>
      </c>
      <c r="CS249" s="13"/>
      <c r="CT249" s="14"/>
      <c r="CU249" s="41"/>
      <c r="CW249" s="226" t="s">
        <v>13</v>
      </c>
      <c r="CX249" s="227"/>
      <c r="CY249" s="228"/>
      <c r="CZ249" s="227" t="s">
        <v>12</v>
      </c>
      <c r="DA249" s="228"/>
      <c r="DB249" s="227" t="s">
        <v>12</v>
      </c>
      <c r="DC249" s="228"/>
      <c r="DD249" s="229" t="s">
        <v>11</v>
      </c>
      <c r="DF249" s="231" t="s">
        <v>19</v>
      </c>
      <c r="DG249" s="231"/>
      <c r="DH249" s="231"/>
      <c r="DI249" s="231"/>
      <c r="DJ249" s="231"/>
      <c r="DK249" s="231"/>
      <c r="DL249" s="231"/>
      <c r="DM249" s="231"/>
    </row>
    <row r="250" spans="2:117" ht="16.5" thickTop="1" x14ac:dyDescent="0.25">
      <c r="K250" s="13">
        <v>9.5</v>
      </c>
      <c r="L250" s="13">
        <v>9.5</v>
      </c>
      <c r="M250" s="13">
        <v>400</v>
      </c>
      <c r="N250" s="13">
        <v>3</v>
      </c>
      <c r="O250" s="14">
        <f t="shared" si="90"/>
        <v>0.10829999999999999</v>
      </c>
      <c r="P250" s="13">
        <f>SUM(N250)</f>
        <v>3</v>
      </c>
      <c r="Q250" s="14">
        <f>SUM(O250)</f>
        <v>0.10829999999999999</v>
      </c>
      <c r="R250" s="13"/>
      <c r="T250" s="28" t="s">
        <v>16</v>
      </c>
      <c r="U250" s="27" t="s">
        <v>15</v>
      </c>
      <c r="V250" s="26"/>
      <c r="W250" s="26"/>
      <c r="X250" s="26"/>
      <c r="Y250" s="26"/>
      <c r="Z250" s="26"/>
      <c r="AA250" s="26"/>
      <c r="AC250" s="13">
        <v>6</v>
      </c>
      <c r="AD250" s="13">
        <v>12</v>
      </c>
      <c r="AE250" s="13">
        <v>400</v>
      </c>
      <c r="AF250" s="13">
        <v>2</v>
      </c>
      <c r="AG250" s="14">
        <f t="shared" si="85"/>
        <v>5.7599999999999998E-2</v>
      </c>
      <c r="AH250" s="13"/>
      <c r="AI250" s="14"/>
      <c r="AJ250" s="13"/>
      <c r="AL250" s="61">
        <v>15</v>
      </c>
      <c r="AM250" s="61">
        <v>15</v>
      </c>
      <c r="AN250" s="61">
        <v>400</v>
      </c>
      <c r="AO250" s="61">
        <v>9</v>
      </c>
      <c r="AP250" s="63">
        <f t="shared" si="91"/>
        <v>0.81</v>
      </c>
      <c r="AQ250" s="61"/>
      <c r="AR250" s="63"/>
      <c r="AS250" s="61"/>
      <c r="AU250" s="13">
        <v>3</v>
      </c>
      <c r="AV250" s="13">
        <v>12</v>
      </c>
      <c r="AW250" s="13">
        <v>400</v>
      </c>
      <c r="AX250" s="13">
        <v>1</v>
      </c>
      <c r="AY250" s="14">
        <f t="shared" si="92"/>
        <v>1.44E-2</v>
      </c>
      <c r="AZ250" s="13"/>
      <c r="BA250" s="14"/>
      <c r="BB250" s="13"/>
      <c r="BD250" s="43"/>
      <c r="BE250" s="25"/>
      <c r="BF250" s="25"/>
      <c r="BG250" s="25"/>
      <c r="BH250" s="25"/>
      <c r="BI250" s="225" t="s">
        <v>112</v>
      </c>
      <c r="BJ250" s="225"/>
      <c r="BK250" s="225"/>
      <c r="BM250" s="13">
        <v>15</v>
      </c>
      <c r="BN250" s="13">
        <v>15</v>
      </c>
      <c r="BO250" s="13">
        <v>400</v>
      </c>
      <c r="BP250" s="13">
        <v>2</v>
      </c>
      <c r="BQ250" s="14">
        <f t="shared" si="88"/>
        <v>0.18</v>
      </c>
      <c r="BR250" s="13"/>
      <c r="BS250" s="14"/>
      <c r="BT250" s="13"/>
      <c r="BV250" s="231" t="s">
        <v>19</v>
      </c>
      <c r="BW250" s="231"/>
      <c r="BX250" s="231"/>
      <c r="BY250" s="231"/>
      <c r="BZ250" s="231"/>
      <c r="CA250" s="231"/>
      <c r="CB250" s="231"/>
      <c r="CC250" s="231"/>
      <c r="CN250" s="13">
        <v>4.5</v>
      </c>
      <c r="CO250" s="13">
        <v>10</v>
      </c>
      <c r="CP250" s="13">
        <v>400</v>
      </c>
      <c r="CQ250" s="13">
        <v>68</v>
      </c>
      <c r="CR250" s="14">
        <f t="shared" si="89"/>
        <v>1.224</v>
      </c>
      <c r="CS250" s="13"/>
      <c r="CT250" s="14"/>
      <c r="CU250" s="41"/>
      <c r="CW250" s="24" t="s">
        <v>10</v>
      </c>
      <c r="CX250" s="23" t="s">
        <v>9</v>
      </c>
      <c r="CY250" s="23" t="s">
        <v>8</v>
      </c>
      <c r="CZ250" s="22" t="s">
        <v>7</v>
      </c>
      <c r="DA250" s="21" t="s">
        <v>6</v>
      </c>
      <c r="DB250" s="22" t="s">
        <v>7</v>
      </c>
      <c r="DC250" s="21" t="s">
        <v>6</v>
      </c>
      <c r="DD250" s="230"/>
      <c r="DF250" s="231"/>
      <c r="DG250" s="231"/>
      <c r="DH250" s="231"/>
      <c r="DI250" s="231"/>
      <c r="DJ250" s="231"/>
      <c r="DK250" s="231"/>
      <c r="DL250" s="231"/>
      <c r="DM250" s="231"/>
    </row>
    <row r="251" spans="2:117" ht="15.75" x14ac:dyDescent="0.25">
      <c r="K251" s="13">
        <v>8</v>
      </c>
      <c r="L251" s="13">
        <v>15</v>
      </c>
      <c r="M251" s="13">
        <v>400</v>
      </c>
      <c r="N251" s="13">
        <v>2</v>
      </c>
      <c r="O251" s="14">
        <f t="shared" si="90"/>
        <v>9.6000000000000002E-2</v>
      </c>
      <c r="P251" s="13"/>
      <c r="Q251" s="14"/>
      <c r="R251" s="13"/>
      <c r="T251" s="25"/>
      <c r="U251" s="25"/>
      <c r="V251" s="25"/>
      <c r="W251" s="25"/>
      <c r="X251" s="25"/>
      <c r="Y251" s="225" t="s">
        <v>51</v>
      </c>
      <c r="Z251" s="225"/>
      <c r="AA251" s="225"/>
      <c r="AC251" s="13">
        <v>6</v>
      </c>
      <c r="AD251" s="13">
        <v>10</v>
      </c>
      <c r="AE251" s="13">
        <v>400</v>
      </c>
      <c r="AF251" s="13">
        <v>1</v>
      </c>
      <c r="AG251" s="14">
        <f t="shared" si="85"/>
        <v>2.4E-2</v>
      </c>
      <c r="AH251" s="13">
        <f>SUM(AF249:AF251)</f>
        <v>6</v>
      </c>
      <c r="AI251" s="14">
        <f>SUM(AG249:AG251)</f>
        <v>0.18959999999999999</v>
      </c>
      <c r="AJ251" s="13"/>
      <c r="AL251" s="61">
        <v>10</v>
      </c>
      <c r="AM251" s="61">
        <v>27</v>
      </c>
      <c r="AN251" s="61">
        <v>400</v>
      </c>
      <c r="AO251" s="61">
        <v>2</v>
      </c>
      <c r="AP251" s="63">
        <f t="shared" si="91"/>
        <v>0.216</v>
      </c>
      <c r="AQ251" s="61"/>
      <c r="AR251" s="63"/>
      <c r="AS251" s="61"/>
      <c r="AU251" s="13">
        <v>6</v>
      </c>
      <c r="AV251" s="13">
        <v>10</v>
      </c>
      <c r="AW251" s="13">
        <v>400</v>
      </c>
      <c r="AX251" s="13">
        <v>1</v>
      </c>
      <c r="AY251" s="14">
        <f t="shared" si="92"/>
        <v>2.4E-2</v>
      </c>
      <c r="AZ251" s="13"/>
      <c r="BA251" s="14"/>
      <c r="BB251" s="13"/>
      <c r="BD251" s="226" t="s">
        <v>13</v>
      </c>
      <c r="BE251" s="227"/>
      <c r="BF251" s="228"/>
      <c r="BG251" s="227" t="s">
        <v>12</v>
      </c>
      <c r="BH251" s="228"/>
      <c r="BI251" s="227" t="s">
        <v>12</v>
      </c>
      <c r="BJ251" s="228"/>
      <c r="BK251" s="229" t="s">
        <v>11</v>
      </c>
      <c r="BM251" s="13">
        <v>13</v>
      </c>
      <c r="BN251" s="13">
        <v>15</v>
      </c>
      <c r="BO251" s="13">
        <v>400</v>
      </c>
      <c r="BP251" s="13">
        <v>6</v>
      </c>
      <c r="BQ251" s="14">
        <f t="shared" si="88"/>
        <v>0.46800000000000003</v>
      </c>
      <c r="BR251" s="13"/>
      <c r="BS251" s="14"/>
      <c r="BT251" s="13"/>
      <c r="BV251" s="231"/>
      <c r="BW251" s="231"/>
      <c r="BX251" s="231"/>
      <c r="BY251" s="231"/>
      <c r="BZ251" s="231"/>
      <c r="CA251" s="231"/>
      <c r="CB251" s="231"/>
      <c r="CC251" s="231"/>
      <c r="CE251" s="231" t="s">
        <v>19</v>
      </c>
      <c r="CF251" s="231"/>
      <c r="CG251" s="231"/>
      <c r="CH251" s="231"/>
      <c r="CI251" s="231"/>
      <c r="CJ251" s="231"/>
      <c r="CK251" s="231"/>
      <c r="CL251" s="231"/>
      <c r="CN251" s="13">
        <v>2</v>
      </c>
      <c r="CO251" s="13">
        <v>10</v>
      </c>
      <c r="CP251" s="13">
        <v>400</v>
      </c>
      <c r="CQ251" s="13">
        <v>34</v>
      </c>
      <c r="CR251" s="14">
        <f t="shared" si="89"/>
        <v>0.27200000000000002</v>
      </c>
      <c r="CS251" s="13"/>
      <c r="CT251" s="14"/>
      <c r="CU251" s="41"/>
      <c r="CW251" s="13">
        <v>10</v>
      </c>
      <c r="CX251" s="13">
        <v>25</v>
      </c>
      <c r="CY251" s="13">
        <v>400</v>
      </c>
      <c r="CZ251" s="13">
        <v>8</v>
      </c>
      <c r="DA251" s="14">
        <f t="shared" ref="DA251:DA283" si="93">CW251*CX251*CY251*CZ251/1000000</f>
        <v>0.8</v>
      </c>
      <c r="DB251" s="13"/>
      <c r="DC251" s="14"/>
      <c r="DD251" s="13"/>
      <c r="DF251" s="28" t="s">
        <v>18</v>
      </c>
      <c r="DG251" s="27" t="s">
        <v>191</v>
      </c>
    </row>
    <row r="252" spans="2:117" ht="15" customHeight="1" x14ac:dyDescent="0.25">
      <c r="K252" s="13">
        <v>8</v>
      </c>
      <c r="L252" s="13">
        <v>13</v>
      </c>
      <c r="M252" s="13">
        <v>400</v>
      </c>
      <c r="N252" s="13">
        <v>1</v>
      </c>
      <c r="O252" s="14">
        <f t="shared" si="90"/>
        <v>4.1599999999999998E-2</v>
      </c>
      <c r="P252" s="13">
        <f>SUM(N251:N252)</f>
        <v>3</v>
      </c>
      <c r="Q252" s="14">
        <f>SUM(O251:O252)</f>
        <v>0.1376</v>
      </c>
      <c r="R252" s="13"/>
      <c r="T252" s="226" t="s">
        <v>13</v>
      </c>
      <c r="U252" s="227"/>
      <c r="V252" s="228"/>
      <c r="W252" s="227" t="s">
        <v>12</v>
      </c>
      <c r="X252" s="228"/>
      <c r="Y252" s="227" t="s">
        <v>12</v>
      </c>
      <c r="Z252" s="228"/>
      <c r="AA252" s="229" t="s">
        <v>11</v>
      </c>
      <c r="AC252" s="13">
        <v>4.5</v>
      </c>
      <c r="AD252" s="13">
        <v>10</v>
      </c>
      <c r="AE252" s="13">
        <v>400</v>
      </c>
      <c r="AF252" s="13">
        <v>12</v>
      </c>
      <c r="AG252" s="14">
        <f t="shared" si="85"/>
        <v>0.216</v>
      </c>
      <c r="AH252" s="13"/>
      <c r="AI252" s="14"/>
      <c r="AJ252" s="13"/>
      <c r="AL252" s="61">
        <v>12</v>
      </c>
      <c r="AM252" s="61">
        <v>20</v>
      </c>
      <c r="AN252" s="61">
        <v>400</v>
      </c>
      <c r="AO252" s="61">
        <v>2</v>
      </c>
      <c r="AP252" s="63">
        <f t="shared" si="91"/>
        <v>0.192</v>
      </c>
      <c r="AQ252" s="61"/>
      <c r="AR252" s="63"/>
      <c r="AS252" s="61"/>
      <c r="AU252" s="13">
        <v>5</v>
      </c>
      <c r="AV252" s="13">
        <v>10</v>
      </c>
      <c r="AW252" s="13">
        <v>400</v>
      </c>
      <c r="AX252" s="13">
        <v>1</v>
      </c>
      <c r="AY252" s="14">
        <f t="shared" si="92"/>
        <v>0.02</v>
      </c>
      <c r="AZ252" s="13"/>
      <c r="BA252" s="14"/>
      <c r="BB252" s="13"/>
      <c r="BD252" s="24" t="s">
        <v>10</v>
      </c>
      <c r="BE252" s="23" t="s">
        <v>9</v>
      </c>
      <c r="BF252" s="23" t="s">
        <v>8</v>
      </c>
      <c r="BG252" s="22" t="s">
        <v>7</v>
      </c>
      <c r="BH252" s="21" t="s">
        <v>6</v>
      </c>
      <c r="BI252" s="22" t="s">
        <v>7</v>
      </c>
      <c r="BJ252" s="21" t="s">
        <v>6</v>
      </c>
      <c r="BK252" s="230"/>
      <c r="BM252" s="13">
        <v>10</v>
      </c>
      <c r="BN252" s="13">
        <v>15</v>
      </c>
      <c r="BO252" s="13">
        <v>400</v>
      </c>
      <c r="BP252" s="13">
        <v>7</v>
      </c>
      <c r="BQ252" s="14">
        <f t="shared" si="88"/>
        <v>0.42</v>
      </c>
      <c r="BR252" s="13"/>
      <c r="BS252" s="14"/>
      <c r="BT252" s="13"/>
      <c r="BV252" s="28" t="s">
        <v>18</v>
      </c>
      <c r="BW252" s="27" t="s">
        <v>45</v>
      </c>
      <c r="BX252" s="26"/>
      <c r="BY252" s="26"/>
      <c r="BZ252" s="26"/>
      <c r="CA252" s="26"/>
      <c r="CB252" s="26"/>
      <c r="CC252" s="26"/>
      <c r="CE252" s="231"/>
      <c r="CF252" s="231"/>
      <c r="CG252" s="231"/>
      <c r="CH252" s="231"/>
      <c r="CI252" s="231"/>
      <c r="CJ252" s="231"/>
      <c r="CK252" s="231"/>
      <c r="CL252" s="231"/>
      <c r="CN252" s="13">
        <v>2</v>
      </c>
      <c r="CO252" s="13">
        <v>15</v>
      </c>
      <c r="CP252" s="13">
        <v>400</v>
      </c>
      <c r="CQ252" s="13">
        <v>9</v>
      </c>
      <c r="CR252" s="14">
        <f t="shared" si="89"/>
        <v>0.108</v>
      </c>
      <c r="CS252" s="13"/>
      <c r="CT252" s="14"/>
      <c r="CU252" s="41"/>
      <c r="CW252" s="13">
        <v>8</v>
      </c>
      <c r="CX252" s="13">
        <v>25</v>
      </c>
      <c r="CY252" s="13">
        <v>400</v>
      </c>
      <c r="CZ252" s="13">
        <v>1</v>
      </c>
      <c r="DA252" s="14">
        <f t="shared" si="93"/>
        <v>0.08</v>
      </c>
      <c r="DB252" s="13"/>
      <c r="DC252" s="14"/>
      <c r="DD252" s="13"/>
      <c r="DF252" s="28" t="s">
        <v>16</v>
      </c>
      <c r="DG252" s="27" t="s">
        <v>15</v>
      </c>
    </row>
    <row r="253" spans="2:117" ht="15.75" x14ac:dyDescent="0.25">
      <c r="K253" s="13">
        <v>6</v>
      </c>
      <c r="L253" s="13">
        <v>15</v>
      </c>
      <c r="M253" s="13">
        <v>400</v>
      </c>
      <c r="N253" s="13">
        <v>7</v>
      </c>
      <c r="O253" s="14">
        <f t="shared" si="90"/>
        <v>0.252</v>
      </c>
      <c r="P253" s="13"/>
      <c r="Q253" s="14"/>
      <c r="R253" s="13"/>
      <c r="T253" s="24" t="s">
        <v>10</v>
      </c>
      <c r="U253" s="23" t="s">
        <v>9</v>
      </c>
      <c r="V253" s="23" t="s">
        <v>8</v>
      </c>
      <c r="W253" s="22" t="s">
        <v>7</v>
      </c>
      <c r="X253" s="21" t="s">
        <v>6</v>
      </c>
      <c r="Y253" s="22" t="s">
        <v>7</v>
      </c>
      <c r="Z253" s="21" t="s">
        <v>6</v>
      </c>
      <c r="AA253" s="230"/>
      <c r="AC253" s="13">
        <v>4.5</v>
      </c>
      <c r="AD253" s="13">
        <v>10</v>
      </c>
      <c r="AE253" s="13">
        <v>400</v>
      </c>
      <c r="AF253" s="13">
        <v>2</v>
      </c>
      <c r="AG253" s="14">
        <f t="shared" si="85"/>
        <v>3.5999999999999997E-2</v>
      </c>
      <c r="AH253" s="13"/>
      <c r="AI253" s="14"/>
      <c r="AJ253" s="13"/>
      <c r="AL253" s="61">
        <v>10</v>
      </c>
      <c r="AM253" s="61">
        <v>24</v>
      </c>
      <c r="AN253" s="61">
        <v>400</v>
      </c>
      <c r="AO253" s="61">
        <v>1</v>
      </c>
      <c r="AP253" s="63">
        <f t="shared" si="91"/>
        <v>9.6000000000000002E-2</v>
      </c>
      <c r="AQ253" s="61"/>
      <c r="AR253" s="63"/>
      <c r="AS253" s="61"/>
      <c r="AU253" s="13">
        <v>2</v>
      </c>
      <c r="AV253" s="13">
        <v>10</v>
      </c>
      <c r="AW253" s="13">
        <v>400</v>
      </c>
      <c r="AX253" s="13">
        <v>1</v>
      </c>
      <c r="AY253" s="14">
        <f t="shared" si="92"/>
        <v>8.0000000000000002E-3</v>
      </c>
      <c r="AZ253" s="13"/>
      <c r="BA253" s="14"/>
      <c r="BB253" s="41"/>
      <c r="BD253" s="13">
        <v>13</v>
      </c>
      <c r="BE253" s="13">
        <v>20</v>
      </c>
      <c r="BF253" s="13">
        <v>400</v>
      </c>
      <c r="BG253" s="13">
        <v>4</v>
      </c>
      <c r="BH253" s="14">
        <f t="shared" ref="BH253:BH307" si="94">BD253*BE253*BF253*BG253/1000000</f>
        <v>0.41599999999999998</v>
      </c>
      <c r="BI253" s="13"/>
      <c r="BJ253" s="14"/>
      <c r="BK253" s="13"/>
      <c r="BM253" s="13">
        <v>8</v>
      </c>
      <c r="BN253" s="13">
        <v>15</v>
      </c>
      <c r="BO253" s="13">
        <v>400</v>
      </c>
      <c r="BP253" s="13">
        <v>1</v>
      </c>
      <c r="BQ253" s="14">
        <f t="shared" si="88"/>
        <v>4.8000000000000001E-2</v>
      </c>
      <c r="BR253" s="13"/>
      <c r="BS253" s="14"/>
      <c r="BT253" s="13"/>
      <c r="BV253" s="28" t="s">
        <v>16</v>
      </c>
      <c r="BW253" s="27" t="s">
        <v>44</v>
      </c>
      <c r="BX253" s="26"/>
      <c r="BY253" s="26"/>
      <c r="BZ253" s="26"/>
      <c r="CA253" s="26"/>
      <c r="CB253" s="26"/>
      <c r="CC253" s="26"/>
      <c r="CE253" s="28" t="s">
        <v>18</v>
      </c>
      <c r="CF253" s="27" t="s">
        <v>153</v>
      </c>
      <c r="CG253" s="26"/>
      <c r="CH253" s="26"/>
      <c r="CI253" s="26"/>
      <c r="CJ253" s="26"/>
      <c r="CK253" s="26"/>
      <c r="CL253" s="26"/>
      <c r="CN253" s="13">
        <v>3</v>
      </c>
      <c r="CO253" s="13">
        <v>15</v>
      </c>
      <c r="CP253" s="13">
        <v>400</v>
      </c>
      <c r="CQ253" s="13">
        <v>10</v>
      </c>
      <c r="CR253" s="14">
        <f t="shared" si="89"/>
        <v>0.18</v>
      </c>
      <c r="CS253" s="13"/>
      <c r="CT253" s="14"/>
      <c r="CU253" s="41"/>
      <c r="CW253" s="13">
        <v>10</v>
      </c>
      <c r="CX253" s="13">
        <v>23</v>
      </c>
      <c r="CY253" s="13">
        <v>400</v>
      </c>
      <c r="CZ253" s="13">
        <v>1</v>
      </c>
      <c r="DA253" s="14">
        <f t="shared" si="93"/>
        <v>9.1999999999999998E-2</v>
      </c>
      <c r="DB253" s="13"/>
      <c r="DC253" s="14"/>
      <c r="DD253" s="13"/>
      <c r="DF253" s="43"/>
      <c r="DG253" s="25"/>
      <c r="DH253" s="25"/>
      <c r="DI253" s="25"/>
      <c r="DJ253" s="25"/>
      <c r="DK253" s="225" t="s">
        <v>192</v>
      </c>
      <c r="DL253" s="225"/>
      <c r="DM253" s="225"/>
    </row>
    <row r="254" spans="2:117" ht="15.75" x14ac:dyDescent="0.25">
      <c r="K254" s="13">
        <v>6</v>
      </c>
      <c r="L254" s="13">
        <v>13</v>
      </c>
      <c r="M254" s="13">
        <v>400</v>
      </c>
      <c r="N254" s="13">
        <v>3</v>
      </c>
      <c r="O254" s="14">
        <f t="shared" si="90"/>
        <v>9.3600000000000003E-2</v>
      </c>
      <c r="P254" s="13">
        <f>SUM(N253:N254)</f>
        <v>10</v>
      </c>
      <c r="Q254" s="14">
        <f>SUM(O253:O254)</f>
        <v>0.34560000000000002</v>
      </c>
      <c r="R254" s="13"/>
      <c r="T254" s="13">
        <v>15</v>
      </c>
      <c r="U254" s="13">
        <v>28</v>
      </c>
      <c r="V254" s="13">
        <v>400</v>
      </c>
      <c r="W254" s="13">
        <v>1</v>
      </c>
      <c r="X254" s="14">
        <f t="shared" ref="X254:X285" si="95">T254*U254*V254*W254/1000000</f>
        <v>0.16800000000000001</v>
      </c>
      <c r="Y254" s="13"/>
      <c r="Z254" s="14"/>
      <c r="AA254" s="13"/>
      <c r="AC254" s="13">
        <v>4.5</v>
      </c>
      <c r="AD254" s="13">
        <v>10</v>
      </c>
      <c r="AE254" s="13">
        <v>300</v>
      </c>
      <c r="AF254" s="13">
        <v>8</v>
      </c>
      <c r="AG254" s="14">
        <f t="shared" si="85"/>
        <v>0.108</v>
      </c>
      <c r="AH254" s="13">
        <f>SUM(AF252:AF254)</f>
        <v>22</v>
      </c>
      <c r="AI254" s="14">
        <f>SUM(AG252:AG254)</f>
        <v>0.36</v>
      </c>
      <c r="AJ254" s="13"/>
      <c r="AL254" s="61">
        <v>15</v>
      </c>
      <c r="AM254" s="61">
        <v>23</v>
      </c>
      <c r="AN254" s="61">
        <v>400</v>
      </c>
      <c r="AO254" s="61">
        <v>1</v>
      </c>
      <c r="AP254" s="63">
        <f t="shared" si="91"/>
        <v>0.13800000000000001</v>
      </c>
      <c r="AQ254" s="61"/>
      <c r="AR254" s="63"/>
      <c r="AS254" s="61"/>
      <c r="AU254" s="13">
        <v>2</v>
      </c>
      <c r="AV254" s="13">
        <v>20</v>
      </c>
      <c r="AW254" s="13">
        <v>300</v>
      </c>
      <c r="AX254" s="13">
        <v>1</v>
      </c>
      <c r="AY254" s="14">
        <f t="shared" si="92"/>
        <v>1.2E-2</v>
      </c>
      <c r="AZ254" s="13"/>
      <c r="BA254" s="14"/>
      <c r="BB254" s="13"/>
      <c r="BD254" s="13">
        <v>7</v>
      </c>
      <c r="BE254" s="13">
        <v>25</v>
      </c>
      <c r="BF254" s="13">
        <v>400</v>
      </c>
      <c r="BG254" s="13">
        <v>5</v>
      </c>
      <c r="BH254" s="14">
        <f t="shared" si="94"/>
        <v>0.35</v>
      </c>
      <c r="BI254" s="13"/>
      <c r="BJ254" s="14"/>
      <c r="BK254" s="13"/>
      <c r="BM254" s="13">
        <v>7</v>
      </c>
      <c r="BN254" s="13">
        <v>15</v>
      </c>
      <c r="BO254" s="13">
        <v>400</v>
      </c>
      <c r="BP254" s="13">
        <v>2</v>
      </c>
      <c r="BQ254" s="14">
        <f t="shared" si="88"/>
        <v>8.4000000000000005E-2</v>
      </c>
      <c r="BR254" s="13"/>
      <c r="BS254" s="14"/>
      <c r="BT254" s="13"/>
      <c r="BV254" s="43"/>
      <c r="BW254" s="25"/>
      <c r="BX254" s="25"/>
      <c r="BY254" s="25"/>
      <c r="BZ254" s="25"/>
      <c r="CA254" s="225" t="s">
        <v>133</v>
      </c>
      <c r="CB254" s="225"/>
      <c r="CC254" s="225"/>
      <c r="CE254" s="28" t="s">
        <v>16</v>
      </c>
      <c r="CF254" s="27" t="s">
        <v>101</v>
      </c>
      <c r="CG254" s="26"/>
      <c r="CH254" s="26"/>
      <c r="CI254" s="26"/>
      <c r="CJ254" s="26"/>
      <c r="CK254" s="26"/>
      <c r="CL254" s="26"/>
      <c r="CN254" s="13">
        <v>6</v>
      </c>
      <c r="CO254" s="13">
        <v>15</v>
      </c>
      <c r="CP254" s="13">
        <v>400</v>
      </c>
      <c r="CQ254" s="13">
        <v>1</v>
      </c>
      <c r="CR254" s="14">
        <f t="shared" si="89"/>
        <v>3.5999999999999997E-2</v>
      </c>
      <c r="CS254" s="13"/>
      <c r="CT254" s="14"/>
      <c r="CU254" s="41"/>
      <c r="CW254" s="13">
        <v>13</v>
      </c>
      <c r="CX254" s="13">
        <v>20</v>
      </c>
      <c r="CY254" s="13">
        <v>400</v>
      </c>
      <c r="CZ254" s="13">
        <v>6</v>
      </c>
      <c r="DA254" s="14">
        <f t="shared" ref="DA254:DA267" si="96">CW254*CX254*CY254*CZ254/1000000</f>
        <v>0.624</v>
      </c>
      <c r="DB254" s="13"/>
      <c r="DC254" s="14"/>
      <c r="DD254" s="13"/>
      <c r="DF254" s="226" t="s">
        <v>13</v>
      </c>
      <c r="DG254" s="227"/>
      <c r="DH254" s="228"/>
      <c r="DI254" s="227" t="s">
        <v>12</v>
      </c>
      <c r="DJ254" s="228"/>
      <c r="DK254" s="227" t="s">
        <v>12</v>
      </c>
      <c r="DL254" s="228"/>
      <c r="DM254" s="229" t="s">
        <v>11</v>
      </c>
    </row>
    <row r="255" spans="2:117" ht="15.75" x14ac:dyDescent="0.25">
      <c r="K255" s="13">
        <v>5</v>
      </c>
      <c r="L255" s="13">
        <v>20</v>
      </c>
      <c r="M255" s="13">
        <v>400</v>
      </c>
      <c r="N255" s="13">
        <v>2</v>
      </c>
      <c r="O255" s="14">
        <f t="shared" si="90"/>
        <v>0.08</v>
      </c>
      <c r="P255" s="13">
        <f>SUM(N255)</f>
        <v>2</v>
      </c>
      <c r="Q255" s="14">
        <f>SUM(O255)</f>
        <v>0.08</v>
      </c>
      <c r="R255" s="13"/>
      <c r="T255" s="13">
        <v>15</v>
      </c>
      <c r="U255" s="13">
        <v>25</v>
      </c>
      <c r="V255" s="13">
        <v>400</v>
      </c>
      <c r="W255" s="13">
        <v>3</v>
      </c>
      <c r="X255" s="14">
        <f t="shared" si="95"/>
        <v>0.45</v>
      </c>
      <c r="Y255" s="13"/>
      <c r="Z255" s="14"/>
      <c r="AA255" s="13"/>
      <c r="AC255" s="13">
        <v>4.5</v>
      </c>
      <c r="AD255" s="13">
        <v>9.5</v>
      </c>
      <c r="AE255" s="13">
        <v>400</v>
      </c>
      <c r="AF255" s="13">
        <v>20</v>
      </c>
      <c r="AG255" s="14">
        <f t="shared" si="85"/>
        <v>0.34200000000000003</v>
      </c>
      <c r="AH255" s="13">
        <f>SUM(AF255)</f>
        <v>20</v>
      </c>
      <c r="AI255" s="14">
        <f>SUM(AG255)</f>
        <v>0.34200000000000003</v>
      </c>
      <c r="AJ255" s="13"/>
      <c r="AL255" s="61">
        <v>15</v>
      </c>
      <c r="AM255" s="61">
        <v>30</v>
      </c>
      <c r="AN255" s="61">
        <v>400</v>
      </c>
      <c r="AO255" s="61">
        <v>4</v>
      </c>
      <c r="AP255" s="63">
        <f t="shared" si="91"/>
        <v>0.72</v>
      </c>
      <c r="AQ255" s="61"/>
      <c r="AR255" s="63"/>
      <c r="AS255" s="61"/>
      <c r="AU255" s="13">
        <v>2</v>
      </c>
      <c r="AV255" s="13">
        <v>10</v>
      </c>
      <c r="AW255" s="13">
        <v>300</v>
      </c>
      <c r="AX255" s="13">
        <v>10</v>
      </c>
      <c r="AY255" s="14">
        <f t="shared" si="92"/>
        <v>0.06</v>
      </c>
      <c r="AZ255" s="13"/>
      <c r="BA255" s="14"/>
      <c r="BB255" s="13"/>
      <c r="BD255" s="13">
        <v>10</v>
      </c>
      <c r="BE255" s="13">
        <v>25</v>
      </c>
      <c r="BF255" s="13">
        <v>400</v>
      </c>
      <c r="BG255" s="13">
        <v>6</v>
      </c>
      <c r="BH255" s="14">
        <f t="shared" si="94"/>
        <v>0.6</v>
      </c>
      <c r="BI255" s="13"/>
      <c r="BJ255" s="14"/>
      <c r="BK255" s="13"/>
      <c r="BM255" s="13">
        <v>4.5</v>
      </c>
      <c r="BN255" s="13">
        <v>15</v>
      </c>
      <c r="BO255" s="13">
        <v>400</v>
      </c>
      <c r="BP255" s="13">
        <v>13</v>
      </c>
      <c r="BQ255" s="14">
        <f t="shared" si="88"/>
        <v>0.35099999999999998</v>
      </c>
      <c r="BR255" s="13"/>
      <c r="BS255" s="14"/>
      <c r="BT255" s="13"/>
      <c r="BV255" s="226" t="s">
        <v>13</v>
      </c>
      <c r="BW255" s="227"/>
      <c r="BX255" s="228"/>
      <c r="BY255" s="227" t="s">
        <v>12</v>
      </c>
      <c r="BZ255" s="228"/>
      <c r="CA255" s="227" t="s">
        <v>12</v>
      </c>
      <c r="CB255" s="228"/>
      <c r="CC255" s="229" t="s">
        <v>11</v>
      </c>
      <c r="CE255" s="43"/>
      <c r="CF255" s="25"/>
      <c r="CG255" s="25"/>
      <c r="CH255" s="25"/>
      <c r="CI255" s="25"/>
      <c r="CJ255" s="225" t="s">
        <v>154</v>
      </c>
      <c r="CK255" s="225"/>
      <c r="CL255" s="225"/>
      <c r="CN255" s="13">
        <v>5</v>
      </c>
      <c r="CO255" s="13">
        <v>12.5</v>
      </c>
      <c r="CP255" s="13">
        <v>400</v>
      </c>
      <c r="CQ255" s="13">
        <v>2</v>
      </c>
      <c r="CR255" s="14">
        <f t="shared" si="89"/>
        <v>0.05</v>
      </c>
      <c r="CS255" s="13"/>
      <c r="CT255" s="14"/>
      <c r="CU255" s="41"/>
      <c r="CW255" s="13">
        <v>10</v>
      </c>
      <c r="CX255" s="13">
        <v>20</v>
      </c>
      <c r="CY255" s="13">
        <v>400</v>
      </c>
      <c r="CZ255" s="13">
        <v>12</v>
      </c>
      <c r="DA255" s="14">
        <f t="shared" si="96"/>
        <v>0.96</v>
      </c>
      <c r="DB255" s="13"/>
      <c r="DC255" s="14"/>
      <c r="DD255" s="13"/>
      <c r="DF255" s="24" t="s">
        <v>10</v>
      </c>
      <c r="DG255" s="23" t="s">
        <v>9</v>
      </c>
      <c r="DH255" s="23" t="s">
        <v>8</v>
      </c>
      <c r="DI255" s="22" t="s">
        <v>7</v>
      </c>
      <c r="DJ255" s="21" t="s">
        <v>6</v>
      </c>
      <c r="DK255" s="22" t="s">
        <v>7</v>
      </c>
      <c r="DL255" s="21" t="s">
        <v>6</v>
      </c>
      <c r="DM255" s="230"/>
    </row>
    <row r="256" spans="2:117" ht="15.75" x14ac:dyDescent="0.25">
      <c r="K256" s="13">
        <v>4.5</v>
      </c>
      <c r="L256" s="13">
        <v>9.5</v>
      </c>
      <c r="M256" s="13">
        <v>400</v>
      </c>
      <c r="N256" s="13">
        <v>11</v>
      </c>
      <c r="O256" s="14">
        <f t="shared" si="90"/>
        <v>0.18809999999999999</v>
      </c>
      <c r="P256" s="13"/>
      <c r="Q256" s="14"/>
      <c r="R256" s="13"/>
      <c r="T256" s="13">
        <v>15</v>
      </c>
      <c r="U256" s="13">
        <v>20</v>
      </c>
      <c r="V256" s="13">
        <v>400</v>
      </c>
      <c r="W256" s="13">
        <v>2</v>
      </c>
      <c r="X256" s="14">
        <f t="shared" si="95"/>
        <v>0.24</v>
      </c>
      <c r="Y256" s="13"/>
      <c r="Z256" s="14"/>
      <c r="AA256" s="13"/>
      <c r="AC256" s="13">
        <v>3</v>
      </c>
      <c r="AD256" s="13">
        <v>15</v>
      </c>
      <c r="AE256" s="13">
        <v>400</v>
      </c>
      <c r="AF256" s="13">
        <v>10</v>
      </c>
      <c r="AG256" s="14">
        <f t="shared" si="85"/>
        <v>0.18</v>
      </c>
      <c r="AH256" s="13"/>
      <c r="AI256" s="14"/>
      <c r="AJ256" s="13"/>
      <c r="AL256" s="61">
        <v>15</v>
      </c>
      <c r="AM256" s="61">
        <v>31</v>
      </c>
      <c r="AN256" s="61">
        <v>400</v>
      </c>
      <c r="AO256" s="61">
        <v>1</v>
      </c>
      <c r="AP256" s="63">
        <f t="shared" si="91"/>
        <v>0.186</v>
      </c>
      <c r="AQ256" s="61"/>
      <c r="AR256" s="63"/>
      <c r="AS256" s="61"/>
      <c r="AU256" s="13">
        <v>6</v>
      </c>
      <c r="AV256" s="13">
        <v>10</v>
      </c>
      <c r="AW256" s="13">
        <v>300</v>
      </c>
      <c r="AX256" s="13">
        <v>1</v>
      </c>
      <c r="AY256" s="14">
        <f t="shared" si="92"/>
        <v>1.7999999999999999E-2</v>
      </c>
      <c r="AZ256" s="13"/>
      <c r="BA256" s="14"/>
      <c r="BB256" s="13"/>
      <c r="BD256" s="13">
        <v>2.2000000000000002</v>
      </c>
      <c r="BE256" s="13">
        <v>13</v>
      </c>
      <c r="BF256" s="13">
        <v>400</v>
      </c>
      <c r="BG256" s="13">
        <v>2</v>
      </c>
      <c r="BH256" s="14">
        <f t="shared" si="94"/>
        <v>2.2880000000000001E-2</v>
      </c>
      <c r="BI256" s="13"/>
      <c r="BJ256" s="14"/>
      <c r="BK256" s="13"/>
      <c r="BM256" s="13">
        <v>3.5</v>
      </c>
      <c r="BN256" s="13">
        <v>15</v>
      </c>
      <c r="BO256" s="13">
        <v>400</v>
      </c>
      <c r="BP256" s="13">
        <v>5</v>
      </c>
      <c r="BQ256" s="14">
        <f t="shared" si="88"/>
        <v>0.105</v>
      </c>
      <c r="BR256" s="13"/>
      <c r="BS256" s="14"/>
      <c r="BT256" s="13"/>
      <c r="BV256" s="24" t="s">
        <v>10</v>
      </c>
      <c r="BW256" s="23" t="s">
        <v>9</v>
      </c>
      <c r="BX256" s="23" t="s">
        <v>8</v>
      </c>
      <c r="BY256" s="22" t="s">
        <v>7</v>
      </c>
      <c r="BZ256" s="21" t="s">
        <v>6</v>
      </c>
      <c r="CA256" s="22" t="s">
        <v>7</v>
      </c>
      <c r="CB256" s="21" t="s">
        <v>6</v>
      </c>
      <c r="CC256" s="230"/>
      <c r="CE256" s="226" t="s">
        <v>13</v>
      </c>
      <c r="CF256" s="227"/>
      <c r="CG256" s="228"/>
      <c r="CH256" s="227" t="s">
        <v>12</v>
      </c>
      <c r="CI256" s="228"/>
      <c r="CJ256" s="227" t="s">
        <v>12</v>
      </c>
      <c r="CK256" s="228"/>
      <c r="CL256" s="229" t="s">
        <v>11</v>
      </c>
      <c r="CN256" s="13">
        <v>3</v>
      </c>
      <c r="CO256" s="13">
        <v>12.5</v>
      </c>
      <c r="CP256" s="13">
        <v>400</v>
      </c>
      <c r="CQ256" s="13">
        <v>1</v>
      </c>
      <c r="CR256" s="14">
        <f t="shared" si="89"/>
        <v>1.4999999999999999E-2</v>
      </c>
      <c r="CS256" s="13"/>
      <c r="CT256" s="14"/>
      <c r="CU256" s="41"/>
      <c r="CW256" s="13">
        <v>8</v>
      </c>
      <c r="CX256" s="13">
        <v>20</v>
      </c>
      <c r="CY256" s="13">
        <v>400</v>
      </c>
      <c r="CZ256" s="13">
        <v>3</v>
      </c>
      <c r="DA256" s="14">
        <f t="shared" si="96"/>
        <v>0.192</v>
      </c>
      <c r="DB256" s="13"/>
      <c r="DC256" s="14"/>
      <c r="DD256" s="13"/>
      <c r="DF256" s="13">
        <v>15</v>
      </c>
      <c r="DG256" s="13">
        <v>33</v>
      </c>
      <c r="DH256" s="61">
        <v>400</v>
      </c>
      <c r="DI256" s="13">
        <v>1</v>
      </c>
      <c r="DJ256" s="14">
        <f t="shared" ref="DJ256:DJ284" si="97">DF256*DG256*DH256*DI256/1000000</f>
        <v>0.19800000000000001</v>
      </c>
      <c r="DK256" s="13"/>
      <c r="DL256" s="14"/>
      <c r="DM256" s="13"/>
    </row>
    <row r="257" spans="11:117" ht="15.75" x14ac:dyDescent="0.25">
      <c r="K257" s="13">
        <v>4.5</v>
      </c>
      <c r="L257" s="13">
        <v>4.5</v>
      </c>
      <c r="M257" s="13">
        <v>400</v>
      </c>
      <c r="N257" s="13">
        <v>84</v>
      </c>
      <c r="O257" s="14">
        <f t="shared" si="90"/>
        <v>0.6804</v>
      </c>
      <c r="P257" s="13"/>
      <c r="Q257" s="14"/>
      <c r="R257" s="13"/>
      <c r="T257" s="13">
        <v>15</v>
      </c>
      <c r="U257" s="13">
        <v>15</v>
      </c>
      <c r="V257" s="13">
        <v>400</v>
      </c>
      <c r="W257" s="13">
        <v>1</v>
      </c>
      <c r="X257" s="14">
        <f t="shared" si="95"/>
        <v>0.09</v>
      </c>
      <c r="Y257" s="13">
        <f>SUM(W254:W257)</f>
        <v>7</v>
      </c>
      <c r="Z257" s="14">
        <f>SUM(X254:X257)</f>
        <v>0.94799999999999995</v>
      </c>
      <c r="AA257" s="13"/>
      <c r="AC257" s="13">
        <v>3</v>
      </c>
      <c r="AD257" s="13">
        <v>15</v>
      </c>
      <c r="AE257" s="13">
        <v>400</v>
      </c>
      <c r="AF257" s="13">
        <v>1</v>
      </c>
      <c r="AG257" s="14">
        <f t="shared" si="85"/>
        <v>1.7999999999999999E-2</v>
      </c>
      <c r="AH257" s="13">
        <f>SUM(AF256:AF257)</f>
        <v>11</v>
      </c>
      <c r="AI257" s="14">
        <f>SUM(AG256:AG257)</f>
        <v>0.19799999999999998</v>
      </c>
      <c r="AJ257" s="13"/>
      <c r="AL257" s="61">
        <v>15</v>
      </c>
      <c r="AM257" s="61">
        <v>20</v>
      </c>
      <c r="AN257" s="61">
        <v>400</v>
      </c>
      <c r="AO257" s="61">
        <v>1</v>
      </c>
      <c r="AP257" s="63">
        <f t="shared" si="91"/>
        <v>0.12</v>
      </c>
      <c r="AQ257" s="61"/>
      <c r="AR257" s="63"/>
      <c r="AS257" s="61"/>
      <c r="AU257" s="13">
        <v>2</v>
      </c>
      <c r="AV257" s="13">
        <v>15</v>
      </c>
      <c r="AW257" s="13">
        <v>300</v>
      </c>
      <c r="AX257" s="13">
        <v>2</v>
      </c>
      <c r="AY257" s="14">
        <f t="shared" si="92"/>
        <v>1.7999999999999999E-2</v>
      </c>
      <c r="AZ257" s="13"/>
      <c r="BA257" s="14"/>
      <c r="BB257" s="41"/>
      <c r="BD257" s="13">
        <v>4.5</v>
      </c>
      <c r="BE257" s="13">
        <v>13</v>
      </c>
      <c r="BF257" s="13">
        <v>400</v>
      </c>
      <c r="BG257" s="13">
        <v>8</v>
      </c>
      <c r="BH257" s="14">
        <f t="shared" si="94"/>
        <v>0.18720000000000001</v>
      </c>
      <c r="BI257" s="13"/>
      <c r="BJ257" s="14"/>
      <c r="BK257" s="13"/>
      <c r="BM257" s="13">
        <v>2.2000000000000002</v>
      </c>
      <c r="BN257" s="13">
        <v>15</v>
      </c>
      <c r="BO257" s="13">
        <v>400</v>
      </c>
      <c r="BP257" s="13">
        <v>7</v>
      </c>
      <c r="BQ257" s="14">
        <f t="shared" si="88"/>
        <v>9.2399999999999996E-2</v>
      </c>
      <c r="BR257" s="13"/>
      <c r="BS257" s="14"/>
      <c r="BT257" s="13"/>
      <c r="BV257" s="13">
        <v>15</v>
      </c>
      <c r="BW257" s="13">
        <v>30</v>
      </c>
      <c r="BX257" s="13">
        <v>400</v>
      </c>
      <c r="BY257" s="13">
        <v>4</v>
      </c>
      <c r="BZ257" s="14">
        <f t="shared" ref="BZ257:BZ287" si="98">BV257*BW257*BX257*BY257/1000000</f>
        <v>0.72</v>
      </c>
      <c r="CA257" s="13"/>
      <c r="CB257" s="14"/>
      <c r="CC257" s="13"/>
      <c r="CE257" s="24" t="s">
        <v>10</v>
      </c>
      <c r="CF257" s="23" t="s">
        <v>9</v>
      </c>
      <c r="CG257" s="23" t="s">
        <v>8</v>
      </c>
      <c r="CH257" s="22" t="s">
        <v>7</v>
      </c>
      <c r="CI257" s="21" t="s">
        <v>6</v>
      </c>
      <c r="CJ257" s="22" t="s">
        <v>7</v>
      </c>
      <c r="CK257" s="21" t="s">
        <v>6</v>
      </c>
      <c r="CL257" s="230"/>
      <c r="CN257" s="13">
        <v>5</v>
      </c>
      <c r="CO257" s="13">
        <v>15</v>
      </c>
      <c r="CP257" s="13">
        <v>400</v>
      </c>
      <c r="CQ257" s="13">
        <v>2</v>
      </c>
      <c r="CR257" s="14">
        <f t="shared" si="89"/>
        <v>0.06</v>
      </c>
      <c r="CS257" s="13">
        <f>SUM(CQ234:CQ257)</f>
        <v>172</v>
      </c>
      <c r="CT257" s="14">
        <f>SUM(CR234:CR257)</f>
        <v>6.2879999999999985</v>
      </c>
      <c r="CU257" s="41" t="s">
        <v>21</v>
      </c>
      <c r="CW257" s="13">
        <v>7</v>
      </c>
      <c r="CX257" s="13">
        <v>20</v>
      </c>
      <c r="CY257" s="13">
        <v>400</v>
      </c>
      <c r="CZ257" s="13">
        <v>11</v>
      </c>
      <c r="DA257" s="14">
        <f t="shared" si="96"/>
        <v>0.61599999999999999</v>
      </c>
      <c r="DB257" s="13"/>
      <c r="DC257" s="14"/>
      <c r="DD257" s="13"/>
      <c r="DF257" s="13">
        <v>13</v>
      </c>
      <c r="DG257" s="13">
        <v>33</v>
      </c>
      <c r="DH257" s="61">
        <v>400</v>
      </c>
      <c r="DI257" s="13">
        <v>1</v>
      </c>
      <c r="DJ257" s="14">
        <f t="shared" si="97"/>
        <v>0.1716</v>
      </c>
      <c r="DK257" s="13"/>
      <c r="DL257" s="14"/>
      <c r="DM257" s="13"/>
    </row>
    <row r="258" spans="11:117" ht="15" customHeight="1" x14ac:dyDescent="0.25">
      <c r="K258" s="13">
        <v>4</v>
      </c>
      <c r="L258" s="13">
        <v>25</v>
      </c>
      <c r="M258" s="13">
        <v>400</v>
      </c>
      <c r="N258" s="13">
        <v>1</v>
      </c>
      <c r="O258" s="14">
        <f t="shared" si="90"/>
        <v>0.04</v>
      </c>
      <c r="P258" s="13"/>
      <c r="Q258" s="14"/>
      <c r="R258" s="13"/>
      <c r="T258" s="13">
        <v>13</v>
      </c>
      <c r="U258" s="13">
        <v>30</v>
      </c>
      <c r="V258" s="13">
        <v>400</v>
      </c>
      <c r="W258" s="13">
        <v>2</v>
      </c>
      <c r="X258" s="14">
        <f t="shared" si="95"/>
        <v>0.312</v>
      </c>
      <c r="Y258" s="13"/>
      <c r="Z258" s="14"/>
      <c r="AA258" s="13"/>
      <c r="AC258" s="13">
        <v>2</v>
      </c>
      <c r="AD258" s="13">
        <v>15</v>
      </c>
      <c r="AE258" s="13">
        <v>400</v>
      </c>
      <c r="AF258" s="13">
        <v>3</v>
      </c>
      <c r="AG258" s="14">
        <f t="shared" si="85"/>
        <v>3.5999999999999997E-2</v>
      </c>
      <c r="AH258" s="13"/>
      <c r="AI258" s="14"/>
      <c r="AJ258" s="13"/>
      <c r="AL258" s="61">
        <v>15</v>
      </c>
      <c r="AM258" s="61">
        <v>25</v>
      </c>
      <c r="AN258" s="61">
        <v>400</v>
      </c>
      <c r="AO258" s="61">
        <v>3</v>
      </c>
      <c r="AP258" s="63">
        <f t="shared" si="91"/>
        <v>0.45</v>
      </c>
      <c r="AQ258" s="61"/>
      <c r="AR258" s="63"/>
      <c r="AS258" s="61"/>
      <c r="AU258" s="13">
        <v>2</v>
      </c>
      <c r="AV258" s="13">
        <v>15</v>
      </c>
      <c r="AW258" s="13">
        <v>250</v>
      </c>
      <c r="AX258" s="13">
        <v>1</v>
      </c>
      <c r="AY258" s="14">
        <f>AU258*AV258*AW258*AX258/1000000</f>
        <v>7.4999999999999997E-3</v>
      </c>
      <c r="AZ258" s="13"/>
      <c r="BA258" s="14"/>
      <c r="BB258" s="13"/>
      <c r="BD258" s="13">
        <v>7</v>
      </c>
      <c r="BE258" s="13">
        <v>13</v>
      </c>
      <c r="BF258" s="13">
        <v>400</v>
      </c>
      <c r="BG258" s="13">
        <v>6</v>
      </c>
      <c r="BH258" s="14">
        <f t="shared" si="94"/>
        <v>0.21840000000000001</v>
      </c>
      <c r="BI258" s="13"/>
      <c r="BJ258" s="14"/>
      <c r="BK258" s="41"/>
      <c r="BM258" s="13">
        <v>13</v>
      </c>
      <c r="BN258" s="13">
        <v>13</v>
      </c>
      <c r="BO258" s="13">
        <v>400</v>
      </c>
      <c r="BP258" s="13">
        <v>1</v>
      </c>
      <c r="BQ258" s="14">
        <f t="shared" si="88"/>
        <v>6.7599999999999993E-2</v>
      </c>
      <c r="BR258" s="13"/>
      <c r="BS258" s="14"/>
      <c r="BT258" s="13"/>
      <c r="BV258" s="13">
        <v>8</v>
      </c>
      <c r="BW258" s="13">
        <v>30</v>
      </c>
      <c r="BX258" s="13">
        <v>400</v>
      </c>
      <c r="BY258" s="13">
        <v>1</v>
      </c>
      <c r="BZ258" s="14">
        <f t="shared" si="98"/>
        <v>9.6000000000000002E-2</v>
      </c>
      <c r="CA258" s="13"/>
      <c r="CB258" s="14"/>
      <c r="CC258" s="13"/>
      <c r="CE258" s="13">
        <v>10</v>
      </c>
      <c r="CF258" s="13">
        <v>23</v>
      </c>
      <c r="CG258" s="13">
        <v>400</v>
      </c>
      <c r="CH258" s="13">
        <v>1</v>
      </c>
      <c r="CI258" s="14">
        <f t="shared" ref="CI258:CI298" si="99">CE258*CF258*CG258*CH258/1000000</f>
        <v>9.1999999999999998E-2</v>
      </c>
      <c r="CJ258" s="13"/>
      <c r="CK258" s="14"/>
      <c r="CL258" s="13"/>
      <c r="CN258" s="13">
        <v>13</v>
      </c>
      <c r="CO258" s="13">
        <v>30</v>
      </c>
      <c r="CP258" s="13">
        <v>400</v>
      </c>
      <c r="CQ258" s="13">
        <v>3</v>
      </c>
      <c r="CR258" s="14">
        <f t="shared" si="89"/>
        <v>0.46800000000000003</v>
      </c>
      <c r="CS258" s="13"/>
      <c r="CT258" s="14"/>
      <c r="CU258" s="41"/>
      <c r="CW258" s="13">
        <v>4.5</v>
      </c>
      <c r="CX258" s="13">
        <v>20</v>
      </c>
      <c r="CY258" s="13">
        <v>400</v>
      </c>
      <c r="CZ258" s="13">
        <v>14</v>
      </c>
      <c r="DA258" s="14">
        <f t="shared" si="96"/>
        <v>0.504</v>
      </c>
      <c r="DB258" s="13"/>
      <c r="DC258" s="14"/>
      <c r="DD258" s="13"/>
      <c r="DF258" s="13">
        <v>13</v>
      </c>
      <c r="DG258" s="13">
        <v>30</v>
      </c>
      <c r="DH258" s="61">
        <v>400</v>
      </c>
      <c r="DI258" s="13">
        <v>2</v>
      </c>
      <c r="DJ258" s="14">
        <f t="shared" si="97"/>
        <v>0.312</v>
      </c>
      <c r="DK258" s="13"/>
      <c r="DL258" s="14"/>
      <c r="DM258" s="13"/>
    </row>
    <row r="259" spans="11:117" ht="15" customHeight="1" x14ac:dyDescent="0.25">
      <c r="K259" s="13">
        <v>4</v>
      </c>
      <c r="L259" s="13">
        <v>23</v>
      </c>
      <c r="M259" s="13">
        <v>400</v>
      </c>
      <c r="N259" s="13">
        <v>1</v>
      </c>
      <c r="O259" s="14">
        <f t="shared" si="90"/>
        <v>3.6799999999999999E-2</v>
      </c>
      <c r="P259" s="13"/>
      <c r="Q259" s="14"/>
      <c r="R259" s="13"/>
      <c r="T259" s="13">
        <v>13</v>
      </c>
      <c r="U259" s="13">
        <v>25</v>
      </c>
      <c r="V259" s="13">
        <v>400</v>
      </c>
      <c r="W259" s="13">
        <v>1</v>
      </c>
      <c r="X259" s="14">
        <f t="shared" si="95"/>
        <v>0.13</v>
      </c>
      <c r="Y259" s="13"/>
      <c r="Z259" s="14"/>
      <c r="AA259" s="13"/>
      <c r="AC259" s="13">
        <v>2</v>
      </c>
      <c r="AD259" s="13">
        <v>10</v>
      </c>
      <c r="AE259" s="13">
        <v>400</v>
      </c>
      <c r="AF259" s="13">
        <v>17</v>
      </c>
      <c r="AG259" s="14">
        <f t="shared" si="85"/>
        <v>0.13600000000000001</v>
      </c>
      <c r="AH259" s="13"/>
      <c r="AI259" s="14"/>
      <c r="AJ259" s="13"/>
      <c r="AL259" s="61">
        <v>10</v>
      </c>
      <c r="AM259" s="61">
        <v>29</v>
      </c>
      <c r="AN259" s="61">
        <v>400</v>
      </c>
      <c r="AO259" s="61">
        <v>1</v>
      </c>
      <c r="AP259" s="63">
        <f t="shared" si="91"/>
        <v>0.11600000000000001</v>
      </c>
      <c r="AQ259" s="64"/>
      <c r="AR259" s="69"/>
      <c r="AS259" s="70"/>
      <c r="AU259" s="13">
        <v>2</v>
      </c>
      <c r="AV259" s="13">
        <v>10</v>
      </c>
      <c r="AW259" s="13">
        <v>250</v>
      </c>
      <c r="AX259" s="13">
        <v>18</v>
      </c>
      <c r="AY259" s="14">
        <f>AU259*AV259*AW259*AX259/1000000</f>
        <v>0.09</v>
      </c>
      <c r="AZ259" s="13"/>
      <c r="BA259" s="14"/>
      <c r="BB259" s="41"/>
      <c r="BD259" s="13">
        <v>2.2000000000000002</v>
      </c>
      <c r="BE259" s="13">
        <v>15</v>
      </c>
      <c r="BF259" s="13">
        <v>400</v>
      </c>
      <c r="BG259" s="13">
        <v>3</v>
      </c>
      <c r="BH259" s="14">
        <f t="shared" si="94"/>
        <v>3.9600000000000003E-2</v>
      </c>
      <c r="BI259" s="13"/>
      <c r="BJ259" s="14"/>
      <c r="BK259" s="13"/>
      <c r="BM259" s="13">
        <v>10</v>
      </c>
      <c r="BN259" s="13">
        <v>13</v>
      </c>
      <c r="BO259" s="13">
        <v>400</v>
      </c>
      <c r="BP259" s="13">
        <v>4</v>
      </c>
      <c r="BQ259" s="14">
        <f t="shared" si="88"/>
        <v>0.20799999999999999</v>
      </c>
      <c r="BR259" s="13"/>
      <c r="BS259" s="14"/>
      <c r="BT259" s="13"/>
      <c r="BV259" s="13">
        <v>13</v>
      </c>
      <c r="BW259" s="13">
        <v>25</v>
      </c>
      <c r="BX259" s="13">
        <v>400</v>
      </c>
      <c r="BY259" s="13">
        <v>1</v>
      </c>
      <c r="BZ259" s="14">
        <f t="shared" si="98"/>
        <v>0.13</v>
      </c>
      <c r="CA259" s="13"/>
      <c r="CB259" s="14"/>
      <c r="CC259" s="13"/>
      <c r="CE259" s="13">
        <v>7</v>
      </c>
      <c r="CF259" s="13">
        <v>23</v>
      </c>
      <c r="CG259" s="13">
        <v>400</v>
      </c>
      <c r="CH259" s="13">
        <v>1</v>
      </c>
      <c r="CI259" s="14">
        <f t="shared" si="99"/>
        <v>6.4399999999999999E-2</v>
      </c>
      <c r="CJ259" s="13"/>
      <c r="CK259" s="14"/>
      <c r="CL259" s="13"/>
      <c r="CN259" s="13">
        <v>4.5</v>
      </c>
      <c r="CO259" s="13">
        <v>20</v>
      </c>
      <c r="CP259" s="13">
        <v>400</v>
      </c>
      <c r="CQ259" s="13">
        <v>1</v>
      </c>
      <c r="CR259" s="14">
        <f t="shared" si="89"/>
        <v>3.5999999999999997E-2</v>
      </c>
      <c r="CS259" s="13"/>
      <c r="CT259" s="14"/>
      <c r="CU259" s="41"/>
      <c r="CW259" s="13">
        <v>2.2000000000000002</v>
      </c>
      <c r="CX259" s="13">
        <v>20</v>
      </c>
      <c r="CY259" s="13">
        <v>400</v>
      </c>
      <c r="CZ259" s="13">
        <v>5</v>
      </c>
      <c r="DA259" s="14">
        <f t="shared" si="96"/>
        <v>8.7999999999999995E-2</v>
      </c>
      <c r="DB259" s="13"/>
      <c r="DC259" s="14"/>
      <c r="DD259" s="13"/>
      <c r="DF259" s="13">
        <v>10</v>
      </c>
      <c r="DG259" s="13">
        <v>30</v>
      </c>
      <c r="DH259" s="61">
        <v>400</v>
      </c>
      <c r="DI259" s="13">
        <v>1</v>
      </c>
      <c r="DJ259" s="14">
        <f t="shared" si="97"/>
        <v>0.12</v>
      </c>
      <c r="DK259" s="13"/>
      <c r="DL259" s="14"/>
      <c r="DM259" s="13"/>
    </row>
    <row r="260" spans="11:117" ht="15" customHeight="1" x14ac:dyDescent="0.25">
      <c r="K260" s="19">
        <v>4</v>
      </c>
      <c r="L260" s="19">
        <v>20</v>
      </c>
      <c r="M260" s="13">
        <v>400</v>
      </c>
      <c r="N260" s="19">
        <v>1</v>
      </c>
      <c r="O260" s="35">
        <f t="shared" si="90"/>
        <v>3.2000000000000001E-2</v>
      </c>
      <c r="P260" s="19">
        <f>SUM(N256:N260)</f>
        <v>98</v>
      </c>
      <c r="Q260" s="35">
        <f>SUM(O256:O260)</f>
        <v>0.97730000000000006</v>
      </c>
      <c r="R260" s="19"/>
      <c r="T260" s="13">
        <v>13</v>
      </c>
      <c r="U260" s="13">
        <v>20</v>
      </c>
      <c r="V260" s="13">
        <v>400</v>
      </c>
      <c r="W260" s="13">
        <v>1</v>
      </c>
      <c r="X260" s="14">
        <f t="shared" si="95"/>
        <v>0.104</v>
      </c>
      <c r="Y260" s="13"/>
      <c r="Z260" s="14"/>
      <c r="AA260" s="13"/>
      <c r="AC260" s="13">
        <v>2</v>
      </c>
      <c r="AD260" s="13">
        <v>10</v>
      </c>
      <c r="AE260" s="13">
        <v>300</v>
      </c>
      <c r="AF260" s="13">
        <v>3</v>
      </c>
      <c r="AG260" s="14">
        <f t="shared" si="85"/>
        <v>1.7999999999999999E-2</v>
      </c>
      <c r="AH260" s="13"/>
      <c r="AI260" s="14"/>
      <c r="AJ260" s="13"/>
      <c r="AL260" s="61">
        <v>15</v>
      </c>
      <c r="AM260" s="61">
        <v>26</v>
      </c>
      <c r="AN260" s="61">
        <v>400</v>
      </c>
      <c r="AO260" s="61">
        <v>2</v>
      </c>
      <c r="AP260" s="63">
        <f t="shared" si="91"/>
        <v>0.312</v>
      </c>
      <c r="AQ260" s="61"/>
      <c r="AR260" s="63"/>
      <c r="AS260" s="61"/>
      <c r="AU260" s="13">
        <v>2</v>
      </c>
      <c r="AV260" s="13">
        <v>20</v>
      </c>
      <c r="AW260" s="13">
        <v>250</v>
      </c>
      <c r="AX260" s="13">
        <v>1</v>
      </c>
      <c r="AY260" s="14">
        <f>AU260*AV260*AW260*AX260/1000000</f>
        <v>0.01</v>
      </c>
      <c r="AZ260" s="13"/>
      <c r="BA260" s="14"/>
      <c r="BB260" s="41"/>
      <c r="BD260" s="13">
        <v>10</v>
      </c>
      <c r="BE260" s="13">
        <v>15</v>
      </c>
      <c r="BF260" s="13">
        <v>400</v>
      </c>
      <c r="BG260" s="13">
        <v>8</v>
      </c>
      <c r="BH260" s="14">
        <f t="shared" si="94"/>
        <v>0.48</v>
      </c>
      <c r="BI260" s="13"/>
      <c r="BJ260" s="14"/>
      <c r="BK260" s="13"/>
      <c r="BM260" s="13">
        <v>7</v>
      </c>
      <c r="BN260" s="13">
        <v>13</v>
      </c>
      <c r="BO260" s="13">
        <v>400</v>
      </c>
      <c r="BP260" s="13">
        <v>6</v>
      </c>
      <c r="BQ260" s="14">
        <f t="shared" si="88"/>
        <v>0.21840000000000001</v>
      </c>
      <c r="BR260" s="13"/>
      <c r="BS260" s="14"/>
      <c r="BT260" s="13"/>
      <c r="BV260" s="13">
        <v>4.5</v>
      </c>
      <c r="BW260" s="13">
        <v>25</v>
      </c>
      <c r="BX260" s="13">
        <v>400</v>
      </c>
      <c r="BY260" s="13">
        <v>2</v>
      </c>
      <c r="BZ260" s="14">
        <f t="shared" si="98"/>
        <v>0.09</v>
      </c>
      <c r="CA260" s="13"/>
      <c r="CB260" s="14"/>
      <c r="CC260" s="13"/>
      <c r="CE260" s="13">
        <v>13</v>
      </c>
      <c r="CF260" s="13">
        <v>25</v>
      </c>
      <c r="CG260" s="13">
        <v>400</v>
      </c>
      <c r="CH260" s="13">
        <v>8</v>
      </c>
      <c r="CI260" s="14">
        <f t="shared" si="99"/>
        <v>1.04</v>
      </c>
      <c r="CJ260" s="13"/>
      <c r="CK260" s="14"/>
      <c r="CL260" s="13"/>
      <c r="CN260" s="13">
        <v>7</v>
      </c>
      <c r="CO260" s="13">
        <v>20</v>
      </c>
      <c r="CP260" s="13">
        <v>400</v>
      </c>
      <c r="CQ260" s="13">
        <v>1</v>
      </c>
      <c r="CR260" s="14">
        <f t="shared" si="89"/>
        <v>5.6000000000000001E-2</v>
      </c>
      <c r="CS260" s="13"/>
      <c r="CT260" s="14"/>
      <c r="CU260" s="41"/>
      <c r="CW260" s="13">
        <v>10</v>
      </c>
      <c r="CX260" s="13">
        <v>15</v>
      </c>
      <c r="CY260" s="13">
        <v>400</v>
      </c>
      <c r="CZ260" s="13">
        <v>11</v>
      </c>
      <c r="DA260" s="14">
        <f t="shared" si="96"/>
        <v>0.66</v>
      </c>
      <c r="DB260" s="13"/>
      <c r="DC260" s="14"/>
      <c r="DD260" s="13"/>
      <c r="DF260" s="13">
        <v>15</v>
      </c>
      <c r="DG260" s="13">
        <v>25</v>
      </c>
      <c r="DH260" s="61">
        <v>400</v>
      </c>
      <c r="DI260" s="13">
        <v>5</v>
      </c>
      <c r="DJ260" s="14">
        <f t="shared" si="97"/>
        <v>0.75</v>
      </c>
      <c r="DK260" s="13"/>
      <c r="DL260" s="14"/>
      <c r="DM260" s="13"/>
    </row>
    <row r="261" spans="11:117" ht="15" customHeight="1" x14ac:dyDescent="0.25">
      <c r="K261" s="13">
        <v>3</v>
      </c>
      <c r="L261" s="13">
        <v>23</v>
      </c>
      <c r="M261" s="13">
        <v>400</v>
      </c>
      <c r="N261" s="13">
        <v>1</v>
      </c>
      <c r="O261" s="20">
        <f t="shared" si="90"/>
        <v>2.76E-2</v>
      </c>
      <c r="P261" s="13"/>
      <c r="Q261" s="20"/>
      <c r="R261" s="13"/>
      <c r="T261" s="13">
        <v>13</v>
      </c>
      <c r="U261" s="13">
        <v>20</v>
      </c>
      <c r="V261" s="13">
        <v>400</v>
      </c>
      <c r="W261" s="13">
        <v>1</v>
      </c>
      <c r="X261" s="14">
        <f t="shared" si="95"/>
        <v>0.104</v>
      </c>
      <c r="Y261" s="13">
        <f>SUM(W258:W261)</f>
        <v>5</v>
      </c>
      <c r="Z261" s="14">
        <f>SUM(X258:X261)</f>
        <v>0.65</v>
      </c>
      <c r="AA261" s="13"/>
      <c r="AC261" s="13">
        <v>2</v>
      </c>
      <c r="AD261" s="13">
        <v>9.5</v>
      </c>
      <c r="AE261" s="13">
        <v>400</v>
      </c>
      <c r="AF261" s="13">
        <v>31</v>
      </c>
      <c r="AG261" s="14">
        <f t="shared" si="85"/>
        <v>0.2356</v>
      </c>
      <c r="AH261" s="13">
        <f>SUM(AF258:AF261)</f>
        <v>54</v>
      </c>
      <c r="AI261" s="14">
        <f>SUM(AG258:AG261)</f>
        <v>0.42559999999999998</v>
      </c>
      <c r="AJ261" s="13"/>
      <c r="AL261" s="61">
        <v>12</v>
      </c>
      <c r="AM261" s="61">
        <v>27</v>
      </c>
      <c r="AN261" s="61">
        <v>400</v>
      </c>
      <c r="AO261" s="61">
        <v>1</v>
      </c>
      <c r="AP261" s="63">
        <f t="shared" si="91"/>
        <v>0.12959999999999999</v>
      </c>
      <c r="AQ261" s="61"/>
      <c r="AR261" s="63"/>
      <c r="AS261" s="61"/>
      <c r="AU261" s="13">
        <v>2</v>
      </c>
      <c r="AV261" s="13">
        <v>10</v>
      </c>
      <c r="AW261" s="13">
        <v>200</v>
      </c>
      <c r="AX261" s="13">
        <v>16</v>
      </c>
      <c r="AY261" s="14">
        <f t="shared" ref="AY261:AY309" si="100">AU261*AV261*AW261*AX261/1000000</f>
        <v>6.4000000000000001E-2</v>
      </c>
      <c r="AZ261" s="13"/>
      <c r="BA261" s="14"/>
      <c r="BB261" s="13"/>
      <c r="BD261" s="13">
        <v>8</v>
      </c>
      <c r="BE261" s="13">
        <v>15</v>
      </c>
      <c r="BF261" s="13">
        <v>400</v>
      </c>
      <c r="BG261" s="13">
        <v>1</v>
      </c>
      <c r="BH261" s="14">
        <f t="shared" si="94"/>
        <v>4.8000000000000001E-2</v>
      </c>
      <c r="BI261" s="13"/>
      <c r="BJ261" s="14"/>
      <c r="BK261" s="13"/>
      <c r="BM261" s="13">
        <v>4.5</v>
      </c>
      <c r="BN261" s="13">
        <v>13</v>
      </c>
      <c r="BO261" s="13">
        <v>400</v>
      </c>
      <c r="BP261" s="13">
        <v>6</v>
      </c>
      <c r="BQ261" s="14">
        <f t="shared" si="88"/>
        <v>0.1404</v>
      </c>
      <c r="BR261" s="13"/>
      <c r="BS261" s="14"/>
      <c r="BT261" s="13"/>
      <c r="BV261" s="13">
        <v>12</v>
      </c>
      <c r="BW261" s="13">
        <v>25</v>
      </c>
      <c r="BX261" s="13">
        <v>400</v>
      </c>
      <c r="BY261" s="13">
        <v>2</v>
      </c>
      <c r="BZ261" s="14">
        <f t="shared" si="98"/>
        <v>0.24</v>
      </c>
      <c r="CA261" s="13"/>
      <c r="CB261" s="14"/>
      <c r="CC261" s="13"/>
      <c r="CE261" s="13">
        <v>7</v>
      </c>
      <c r="CF261" s="13">
        <v>25</v>
      </c>
      <c r="CG261" s="13">
        <v>400</v>
      </c>
      <c r="CH261" s="13">
        <v>2</v>
      </c>
      <c r="CI261" s="14">
        <f t="shared" si="99"/>
        <v>0.14000000000000001</v>
      </c>
      <c r="CJ261" s="13"/>
      <c r="CK261" s="14"/>
      <c r="CL261" s="13"/>
      <c r="CN261" s="13">
        <v>15</v>
      </c>
      <c r="CO261" s="13">
        <v>30</v>
      </c>
      <c r="CP261" s="13">
        <v>400</v>
      </c>
      <c r="CQ261" s="13">
        <v>1</v>
      </c>
      <c r="CR261" s="14">
        <f t="shared" si="89"/>
        <v>0.18</v>
      </c>
      <c r="CS261" s="13"/>
      <c r="CT261" s="14"/>
      <c r="CU261" s="41"/>
      <c r="CW261" s="13">
        <v>8</v>
      </c>
      <c r="CX261" s="13">
        <v>15</v>
      </c>
      <c r="CY261" s="13">
        <v>400</v>
      </c>
      <c r="CZ261" s="13">
        <v>1</v>
      </c>
      <c r="DA261" s="14">
        <f t="shared" si="96"/>
        <v>4.8000000000000001E-2</v>
      </c>
      <c r="DB261" s="13"/>
      <c r="DC261" s="14"/>
      <c r="DD261" s="13"/>
      <c r="DF261" s="13">
        <v>13</v>
      </c>
      <c r="DG261" s="13">
        <v>25</v>
      </c>
      <c r="DH261" s="61">
        <v>400</v>
      </c>
      <c r="DI261" s="13">
        <v>6</v>
      </c>
      <c r="DJ261" s="14">
        <f t="shared" si="97"/>
        <v>0.78</v>
      </c>
      <c r="DK261" s="13"/>
      <c r="DL261" s="14"/>
      <c r="DM261" s="41"/>
    </row>
    <row r="262" spans="11:117" ht="15" customHeight="1" thickBot="1" x14ac:dyDescent="0.3">
      <c r="K262" s="13">
        <v>3</v>
      </c>
      <c r="L262" s="13">
        <v>20</v>
      </c>
      <c r="M262" s="13">
        <v>400</v>
      </c>
      <c r="N262" s="13">
        <v>1</v>
      </c>
      <c r="O262" s="20">
        <f t="shared" si="90"/>
        <v>2.4E-2</v>
      </c>
      <c r="P262" s="13"/>
      <c r="Q262" s="20"/>
      <c r="R262" s="13"/>
      <c r="T262" s="13">
        <v>10</v>
      </c>
      <c r="U262" s="13">
        <v>30</v>
      </c>
      <c r="V262" s="13">
        <v>400</v>
      </c>
      <c r="W262" s="13">
        <v>5</v>
      </c>
      <c r="X262" s="14">
        <f t="shared" si="95"/>
        <v>0.6</v>
      </c>
      <c r="Y262" s="13"/>
      <c r="Z262" s="14"/>
      <c r="AA262" s="13"/>
      <c r="AC262" s="237"/>
      <c r="AD262" s="237"/>
      <c r="AE262" s="238"/>
      <c r="AF262" s="17">
        <f>SUM(AF221:AF261)</f>
        <v>189</v>
      </c>
      <c r="AG262" s="32">
        <f>SUM(AG221:AG261)</f>
        <v>9.5303000000000004</v>
      </c>
      <c r="AH262" s="17">
        <f>SUM(AH221:AH261)</f>
        <v>189</v>
      </c>
      <c r="AI262" s="32">
        <f>SUM(AI221:AI261)</f>
        <v>9.5303000000000004</v>
      </c>
      <c r="AJ262" s="46" t="s">
        <v>21</v>
      </c>
      <c r="AL262" s="61">
        <v>10</v>
      </c>
      <c r="AM262" s="61">
        <v>15</v>
      </c>
      <c r="AN262" s="61">
        <v>400</v>
      </c>
      <c r="AO262" s="61">
        <v>6</v>
      </c>
      <c r="AP262" s="63">
        <f t="shared" si="91"/>
        <v>0.36</v>
      </c>
      <c r="AQ262" s="61"/>
      <c r="AR262" s="63"/>
      <c r="AS262" s="61"/>
      <c r="AU262" s="13">
        <v>2</v>
      </c>
      <c r="AV262" s="13">
        <v>15</v>
      </c>
      <c r="AW262" s="13">
        <v>200</v>
      </c>
      <c r="AX262" s="13">
        <v>1</v>
      </c>
      <c r="AY262" s="14">
        <f t="shared" si="100"/>
        <v>6.0000000000000001E-3</v>
      </c>
      <c r="AZ262" s="13">
        <f>SUM(AX248:AX262)</f>
        <v>58</v>
      </c>
      <c r="BA262" s="97">
        <f>SUM(AY248:AY262)</f>
        <v>0.44549999999999995</v>
      </c>
      <c r="BB262" s="41" t="s">
        <v>21</v>
      </c>
      <c r="BD262" s="13">
        <v>13</v>
      </c>
      <c r="BE262" s="13">
        <v>15</v>
      </c>
      <c r="BF262" s="13">
        <v>400</v>
      </c>
      <c r="BG262" s="13">
        <v>4</v>
      </c>
      <c r="BH262" s="14">
        <f t="shared" si="94"/>
        <v>0.312</v>
      </c>
      <c r="BI262" s="13"/>
      <c r="BJ262" s="14"/>
      <c r="BK262" s="41"/>
      <c r="BM262" s="13">
        <v>3.5</v>
      </c>
      <c r="BN262" s="13">
        <v>13</v>
      </c>
      <c r="BO262" s="13">
        <v>400</v>
      </c>
      <c r="BP262" s="13">
        <v>3</v>
      </c>
      <c r="BQ262" s="14">
        <f t="shared" si="88"/>
        <v>5.4600000000000003E-2</v>
      </c>
      <c r="BR262" s="13"/>
      <c r="BS262" s="14"/>
      <c r="BT262" s="13"/>
      <c r="BV262" s="13">
        <v>7</v>
      </c>
      <c r="BW262" s="13">
        <v>20</v>
      </c>
      <c r="BX262" s="13">
        <v>400</v>
      </c>
      <c r="BY262" s="13">
        <v>5</v>
      </c>
      <c r="BZ262" s="14">
        <f t="shared" si="98"/>
        <v>0.28000000000000003</v>
      </c>
      <c r="CA262" s="13"/>
      <c r="CB262" s="14"/>
      <c r="CC262" s="13"/>
      <c r="CE262" s="13">
        <v>15</v>
      </c>
      <c r="CF262" s="13">
        <v>25</v>
      </c>
      <c r="CG262" s="13">
        <v>400</v>
      </c>
      <c r="CH262" s="13">
        <v>6</v>
      </c>
      <c r="CI262" s="14">
        <f t="shared" si="99"/>
        <v>0.9</v>
      </c>
      <c r="CJ262" s="13"/>
      <c r="CK262" s="14"/>
      <c r="CL262" s="13"/>
      <c r="CN262" s="13">
        <v>15</v>
      </c>
      <c r="CO262" s="13">
        <v>25</v>
      </c>
      <c r="CP262" s="13">
        <v>400</v>
      </c>
      <c r="CQ262" s="13">
        <v>2</v>
      </c>
      <c r="CR262" s="14">
        <f t="shared" si="89"/>
        <v>0.3</v>
      </c>
      <c r="CS262" s="13"/>
      <c r="CT262" s="14"/>
      <c r="CU262" s="41"/>
      <c r="CW262" s="13">
        <v>4.5</v>
      </c>
      <c r="CX262" s="13">
        <v>15</v>
      </c>
      <c r="CY262" s="13">
        <v>400</v>
      </c>
      <c r="CZ262" s="13">
        <v>32</v>
      </c>
      <c r="DA262" s="14">
        <f t="shared" si="96"/>
        <v>0.86399999999999999</v>
      </c>
      <c r="DB262" s="13"/>
      <c r="DC262" s="14"/>
      <c r="DD262" s="13"/>
      <c r="DF262" s="13">
        <v>10</v>
      </c>
      <c r="DG262" s="13">
        <v>25</v>
      </c>
      <c r="DH262" s="61">
        <v>400</v>
      </c>
      <c r="DI262" s="13">
        <v>13</v>
      </c>
      <c r="DJ262" s="14">
        <f t="shared" si="97"/>
        <v>1.3</v>
      </c>
      <c r="DK262" s="13"/>
      <c r="DL262" s="14"/>
      <c r="DM262" s="41"/>
    </row>
    <row r="263" spans="11:117" ht="15" customHeight="1" thickTop="1" x14ac:dyDescent="0.25">
      <c r="K263" s="13">
        <v>3</v>
      </c>
      <c r="L263" s="13">
        <v>12.5</v>
      </c>
      <c r="M263" s="13">
        <v>400</v>
      </c>
      <c r="N263" s="13">
        <v>7</v>
      </c>
      <c r="O263" s="20">
        <f t="shared" si="90"/>
        <v>0.105</v>
      </c>
      <c r="P263" s="13"/>
      <c r="Q263" s="20"/>
      <c r="R263" s="13"/>
      <c r="T263" s="13">
        <v>10</v>
      </c>
      <c r="U263" s="13">
        <v>25</v>
      </c>
      <c r="V263" s="13">
        <v>400</v>
      </c>
      <c r="W263" s="13">
        <v>2</v>
      </c>
      <c r="X263" s="14">
        <f t="shared" si="95"/>
        <v>0.2</v>
      </c>
      <c r="Y263" s="13"/>
      <c r="Z263" s="14"/>
      <c r="AA263" s="13"/>
      <c r="AL263" s="61">
        <v>12</v>
      </c>
      <c r="AM263" s="61">
        <v>15</v>
      </c>
      <c r="AN263" s="61">
        <v>400</v>
      </c>
      <c r="AO263" s="61">
        <v>7</v>
      </c>
      <c r="AP263" s="63">
        <f t="shared" si="91"/>
        <v>0.504</v>
      </c>
      <c r="AQ263" s="61"/>
      <c r="AR263" s="63"/>
      <c r="AS263" s="61"/>
      <c r="AU263" s="13">
        <v>13</v>
      </c>
      <c r="AV263" s="13">
        <v>30</v>
      </c>
      <c r="AW263" s="13">
        <v>400</v>
      </c>
      <c r="AX263" s="13">
        <v>2</v>
      </c>
      <c r="AY263" s="14">
        <f t="shared" si="100"/>
        <v>0.312</v>
      </c>
      <c r="AZ263" s="13"/>
      <c r="BA263" s="14"/>
      <c r="BB263" s="13"/>
      <c r="BD263" s="13">
        <v>4.5</v>
      </c>
      <c r="BE263" s="13">
        <v>15</v>
      </c>
      <c r="BF263" s="13">
        <v>400</v>
      </c>
      <c r="BG263" s="13">
        <v>15</v>
      </c>
      <c r="BH263" s="14">
        <f t="shared" si="94"/>
        <v>0.40500000000000003</v>
      </c>
      <c r="BI263" s="13"/>
      <c r="BJ263" s="14"/>
      <c r="BK263" s="13"/>
      <c r="BM263" s="13">
        <v>2.2000000000000002</v>
      </c>
      <c r="BN263" s="13">
        <v>13</v>
      </c>
      <c r="BO263" s="13">
        <v>400</v>
      </c>
      <c r="BP263" s="13">
        <v>3</v>
      </c>
      <c r="BQ263" s="14">
        <f t="shared" si="88"/>
        <v>3.4320000000000003E-2</v>
      </c>
      <c r="BR263" s="13"/>
      <c r="BS263" s="14"/>
      <c r="BT263" s="13"/>
      <c r="BV263" s="13">
        <v>10</v>
      </c>
      <c r="BW263" s="13">
        <v>20</v>
      </c>
      <c r="BX263" s="13">
        <v>400</v>
      </c>
      <c r="BY263" s="13">
        <v>5</v>
      </c>
      <c r="BZ263" s="14">
        <f t="shared" si="98"/>
        <v>0.4</v>
      </c>
      <c r="CA263" s="13"/>
      <c r="CB263" s="14"/>
      <c r="CC263" s="13"/>
      <c r="CE263" s="13">
        <v>4.5</v>
      </c>
      <c r="CF263" s="13">
        <v>25</v>
      </c>
      <c r="CG263" s="13">
        <v>400</v>
      </c>
      <c r="CH263" s="13">
        <v>2</v>
      </c>
      <c r="CI263" s="14">
        <f t="shared" si="99"/>
        <v>0.09</v>
      </c>
      <c r="CJ263" s="13"/>
      <c r="CK263" s="14"/>
      <c r="CL263" s="41"/>
      <c r="CN263" s="13">
        <v>10</v>
      </c>
      <c r="CO263" s="13">
        <v>30</v>
      </c>
      <c r="CP263" s="13">
        <v>400</v>
      </c>
      <c r="CQ263" s="13">
        <v>1</v>
      </c>
      <c r="CR263" s="14">
        <f t="shared" si="89"/>
        <v>0.12</v>
      </c>
      <c r="CS263" s="13"/>
      <c r="CT263" s="14"/>
      <c r="CU263" s="41"/>
      <c r="CW263" s="13">
        <v>2.2000000000000002</v>
      </c>
      <c r="CX263" s="13">
        <v>15</v>
      </c>
      <c r="CY263" s="13">
        <v>400</v>
      </c>
      <c r="CZ263" s="13">
        <v>25</v>
      </c>
      <c r="DA263" s="14">
        <f t="shared" si="96"/>
        <v>0.33</v>
      </c>
      <c r="DB263" s="13"/>
      <c r="DC263" s="14"/>
      <c r="DD263" s="13"/>
      <c r="DF263" s="13">
        <v>8</v>
      </c>
      <c r="DG263" s="13">
        <v>25</v>
      </c>
      <c r="DH263" s="61">
        <v>400</v>
      </c>
      <c r="DI263" s="13">
        <v>2</v>
      </c>
      <c r="DJ263" s="14">
        <f t="shared" si="97"/>
        <v>0.16</v>
      </c>
      <c r="DK263" s="13"/>
      <c r="DL263" s="14"/>
      <c r="DM263" s="41"/>
    </row>
    <row r="264" spans="11:117" ht="15" customHeight="1" x14ac:dyDescent="0.25">
      <c r="K264" s="57">
        <v>3</v>
      </c>
      <c r="L264" s="57">
        <v>5</v>
      </c>
      <c r="M264" s="57">
        <v>400</v>
      </c>
      <c r="N264" s="57">
        <v>190</v>
      </c>
      <c r="O264" s="156">
        <f t="shared" si="90"/>
        <v>1.1399999999999999</v>
      </c>
      <c r="P264" s="57">
        <f>SUM(N261:N264)</f>
        <v>199</v>
      </c>
      <c r="Q264" s="156">
        <f>SUM(O261:O264)</f>
        <v>1.2966</v>
      </c>
      <c r="R264" s="57"/>
      <c r="T264" s="13">
        <v>10</v>
      </c>
      <c r="U264" s="13">
        <v>23</v>
      </c>
      <c r="V264" s="13">
        <v>400</v>
      </c>
      <c r="W264" s="13">
        <v>1</v>
      </c>
      <c r="X264" s="14">
        <f t="shared" si="95"/>
        <v>9.1999999999999998E-2</v>
      </c>
      <c r="Y264" s="13"/>
      <c r="Z264" s="14"/>
      <c r="AA264" s="13"/>
      <c r="AC264" s="28" t="s">
        <v>18</v>
      </c>
      <c r="AD264" s="27" t="s">
        <v>34</v>
      </c>
      <c r="AE264" s="26"/>
      <c r="AF264" s="26"/>
      <c r="AG264" s="26"/>
      <c r="AH264" s="26"/>
      <c r="AI264" s="26"/>
      <c r="AJ264" s="26"/>
      <c r="AL264" s="61">
        <v>14</v>
      </c>
      <c r="AM264" s="61">
        <v>15</v>
      </c>
      <c r="AN264" s="61">
        <v>400</v>
      </c>
      <c r="AO264" s="61">
        <v>2</v>
      </c>
      <c r="AP264" s="63">
        <f t="shared" si="91"/>
        <v>0.16800000000000001</v>
      </c>
      <c r="AQ264" s="61"/>
      <c r="AR264" s="63"/>
      <c r="AS264" s="61"/>
      <c r="AU264" s="13">
        <v>10</v>
      </c>
      <c r="AV264" s="13">
        <v>33</v>
      </c>
      <c r="AW264" s="13">
        <v>400</v>
      </c>
      <c r="AX264" s="13">
        <v>1</v>
      </c>
      <c r="AY264" s="14">
        <f t="shared" si="100"/>
        <v>0.13200000000000001</v>
      </c>
      <c r="AZ264" s="13"/>
      <c r="BA264" s="14"/>
      <c r="BB264" s="13"/>
      <c r="BD264" s="13">
        <v>10</v>
      </c>
      <c r="BE264" s="13">
        <v>20</v>
      </c>
      <c r="BF264" s="13">
        <v>400</v>
      </c>
      <c r="BG264" s="13">
        <v>11</v>
      </c>
      <c r="BH264" s="14">
        <f t="shared" si="94"/>
        <v>0.88</v>
      </c>
      <c r="BI264" s="13"/>
      <c r="BJ264" s="14"/>
      <c r="BK264" s="41"/>
      <c r="BM264" s="13">
        <v>4.5</v>
      </c>
      <c r="BN264" s="13">
        <v>10</v>
      </c>
      <c r="BO264" s="13">
        <v>400</v>
      </c>
      <c r="BP264" s="13">
        <v>21</v>
      </c>
      <c r="BQ264" s="14">
        <f t="shared" si="88"/>
        <v>0.378</v>
      </c>
      <c r="BR264" s="13"/>
      <c r="BS264" s="14"/>
      <c r="BT264" s="13"/>
      <c r="BV264" s="13">
        <v>4.5</v>
      </c>
      <c r="BW264" s="13">
        <v>20</v>
      </c>
      <c r="BX264" s="13">
        <v>400</v>
      </c>
      <c r="BY264" s="13">
        <v>6</v>
      </c>
      <c r="BZ264" s="14">
        <f t="shared" si="98"/>
        <v>0.216</v>
      </c>
      <c r="CA264" s="13"/>
      <c r="CB264" s="14"/>
      <c r="CC264" s="13"/>
      <c r="CE264" s="13">
        <v>10</v>
      </c>
      <c r="CF264" s="13">
        <v>25</v>
      </c>
      <c r="CG264" s="13">
        <v>400</v>
      </c>
      <c r="CH264" s="13">
        <v>12</v>
      </c>
      <c r="CI264" s="14">
        <f t="shared" si="99"/>
        <v>1.2</v>
      </c>
      <c r="CJ264" s="13"/>
      <c r="CK264" s="14"/>
      <c r="CL264" s="41"/>
      <c r="CN264" s="13">
        <v>10</v>
      </c>
      <c r="CO264" s="13">
        <v>20</v>
      </c>
      <c r="CP264" s="13">
        <v>400</v>
      </c>
      <c r="CQ264" s="13">
        <v>5</v>
      </c>
      <c r="CR264" s="14">
        <f t="shared" si="89"/>
        <v>0.4</v>
      </c>
      <c r="CS264" s="13"/>
      <c r="CT264" s="14"/>
      <c r="CU264" s="41"/>
      <c r="CW264" s="13">
        <v>10</v>
      </c>
      <c r="CX264" s="13">
        <v>13</v>
      </c>
      <c r="CY264" s="13">
        <v>400</v>
      </c>
      <c r="CZ264" s="13">
        <v>4</v>
      </c>
      <c r="DA264" s="14">
        <f t="shared" si="96"/>
        <v>0.20799999999999999</v>
      </c>
      <c r="DB264" s="13"/>
      <c r="DC264" s="14"/>
      <c r="DD264" s="13"/>
      <c r="DF264" s="13">
        <v>4.5</v>
      </c>
      <c r="DG264" s="13">
        <v>25</v>
      </c>
      <c r="DH264" s="61">
        <v>400</v>
      </c>
      <c r="DI264" s="13">
        <v>1</v>
      </c>
      <c r="DJ264" s="14">
        <f t="shared" si="97"/>
        <v>4.4999999999999998E-2</v>
      </c>
      <c r="DK264" s="13"/>
      <c r="DL264" s="14"/>
      <c r="DM264" s="41"/>
    </row>
    <row r="265" spans="11:117" ht="15" customHeight="1" x14ac:dyDescent="0.25">
      <c r="K265" s="13">
        <v>2</v>
      </c>
      <c r="L265" s="13">
        <v>10</v>
      </c>
      <c r="M265" s="13">
        <v>400</v>
      </c>
      <c r="N265" s="13">
        <v>29</v>
      </c>
      <c r="O265" s="20">
        <f t="shared" si="90"/>
        <v>0.23200000000000001</v>
      </c>
      <c r="P265" s="13"/>
      <c r="Q265" s="20"/>
      <c r="R265" s="13"/>
      <c r="T265" s="13">
        <v>10</v>
      </c>
      <c r="U265" s="13">
        <v>20</v>
      </c>
      <c r="V265" s="13">
        <v>400</v>
      </c>
      <c r="W265" s="13">
        <v>14</v>
      </c>
      <c r="X265" s="14">
        <f t="shared" si="95"/>
        <v>1.1200000000000001</v>
      </c>
      <c r="Y265" s="13"/>
      <c r="Z265" s="14"/>
      <c r="AA265" s="13"/>
      <c r="AC265" s="28" t="s">
        <v>16</v>
      </c>
      <c r="AD265" s="27" t="s">
        <v>33</v>
      </c>
      <c r="AE265" s="26"/>
      <c r="AF265" s="26"/>
      <c r="AG265" s="26"/>
      <c r="AH265" s="26"/>
      <c r="AI265" s="26"/>
      <c r="AJ265" s="26"/>
      <c r="AL265" s="61">
        <v>10</v>
      </c>
      <c r="AM265" s="61">
        <v>10</v>
      </c>
      <c r="AN265" s="61">
        <v>400</v>
      </c>
      <c r="AO265" s="61">
        <v>2</v>
      </c>
      <c r="AP265" s="63">
        <f t="shared" si="91"/>
        <v>0.08</v>
      </c>
      <c r="AQ265" s="61"/>
      <c r="AR265" s="63"/>
      <c r="AS265" s="61"/>
      <c r="AU265" s="13">
        <v>10</v>
      </c>
      <c r="AV265" s="13">
        <v>30</v>
      </c>
      <c r="AW265" s="13">
        <v>400</v>
      </c>
      <c r="AX265" s="13">
        <v>2</v>
      </c>
      <c r="AY265" s="14">
        <f t="shared" si="100"/>
        <v>0.24</v>
      </c>
      <c r="AZ265" s="13"/>
      <c r="BA265" s="14"/>
      <c r="BB265" s="13"/>
      <c r="BD265" s="13">
        <v>4.5</v>
      </c>
      <c r="BE265" s="13">
        <v>25</v>
      </c>
      <c r="BF265" s="13">
        <v>400</v>
      </c>
      <c r="BG265" s="13">
        <v>1</v>
      </c>
      <c r="BH265" s="14">
        <f t="shared" si="94"/>
        <v>4.4999999999999998E-2</v>
      </c>
      <c r="BI265" s="13"/>
      <c r="BJ265" s="14"/>
      <c r="BK265" s="41"/>
      <c r="BM265" s="13">
        <v>3.5</v>
      </c>
      <c r="BN265" s="13">
        <v>10</v>
      </c>
      <c r="BO265" s="13">
        <v>400</v>
      </c>
      <c r="BP265" s="13">
        <v>3</v>
      </c>
      <c r="BQ265" s="14">
        <f t="shared" si="88"/>
        <v>4.2000000000000003E-2</v>
      </c>
      <c r="BR265" s="13"/>
      <c r="BS265" s="14"/>
      <c r="BT265" s="13"/>
      <c r="BV265" s="13">
        <v>13</v>
      </c>
      <c r="BW265" s="13">
        <v>20</v>
      </c>
      <c r="BX265" s="13">
        <v>400</v>
      </c>
      <c r="BY265" s="13">
        <v>1</v>
      </c>
      <c r="BZ265" s="14">
        <f t="shared" si="98"/>
        <v>0.104</v>
      </c>
      <c r="CA265" s="13"/>
      <c r="CB265" s="14"/>
      <c r="CC265" s="13"/>
      <c r="CE265" s="13">
        <v>13</v>
      </c>
      <c r="CF265" s="13">
        <v>33</v>
      </c>
      <c r="CG265" s="13">
        <v>400</v>
      </c>
      <c r="CH265" s="13">
        <v>1</v>
      </c>
      <c r="CI265" s="14">
        <f t="shared" si="99"/>
        <v>0.1716</v>
      </c>
      <c r="CJ265" s="13"/>
      <c r="CK265" s="14"/>
      <c r="CL265" s="41"/>
      <c r="CN265" s="13">
        <v>7</v>
      </c>
      <c r="CO265" s="13">
        <v>25</v>
      </c>
      <c r="CP265" s="13">
        <v>400</v>
      </c>
      <c r="CQ265" s="13">
        <v>3</v>
      </c>
      <c r="CR265" s="14">
        <f t="shared" si="89"/>
        <v>0.21</v>
      </c>
      <c r="CS265" s="13"/>
      <c r="CT265" s="14"/>
      <c r="CU265" s="41"/>
      <c r="CW265" s="13">
        <v>7</v>
      </c>
      <c r="CX265" s="13">
        <v>13</v>
      </c>
      <c r="CY265" s="13">
        <v>400</v>
      </c>
      <c r="CZ265" s="13">
        <v>1</v>
      </c>
      <c r="DA265" s="14">
        <f t="shared" si="96"/>
        <v>3.6400000000000002E-2</v>
      </c>
      <c r="DB265" s="13"/>
      <c r="DC265" s="14"/>
      <c r="DD265" s="13"/>
      <c r="DF265" s="13">
        <v>15</v>
      </c>
      <c r="DG265" s="13">
        <v>20</v>
      </c>
      <c r="DH265" s="61">
        <v>400</v>
      </c>
      <c r="DI265" s="13">
        <v>6</v>
      </c>
      <c r="DJ265" s="14">
        <f t="shared" si="97"/>
        <v>0.72</v>
      </c>
      <c r="DK265" s="13"/>
      <c r="DL265" s="14"/>
      <c r="DM265" s="41"/>
    </row>
    <row r="266" spans="11:117" ht="15" customHeight="1" x14ac:dyDescent="0.25">
      <c r="K266" s="57">
        <v>2</v>
      </c>
      <c r="L266" s="57">
        <v>3</v>
      </c>
      <c r="M266" s="57">
        <v>400</v>
      </c>
      <c r="N266" s="57">
        <v>400</v>
      </c>
      <c r="O266" s="156">
        <f t="shared" si="90"/>
        <v>0.96</v>
      </c>
      <c r="P266" s="57">
        <f>SUM(N265:N266)</f>
        <v>429</v>
      </c>
      <c r="Q266" s="156">
        <f>SUM(O265:O266)</f>
        <v>1.1919999999999999</v>
      </c>
      <c r="R266" s="57"/>
      <c r="T266" s="13">
        <v>10</v>
      </c>
      <c r="U266" s="13">
        <v>20</v>
      </c>
      <c r="V266" s="13">
        <v>400</v>
      </c>
      <c r="W266" s="13">
        <v>3</v>
      </c>
      <c r="X266" s="14">
        <f t="shared" si="95"/>
        <v>0.24</v>
      </c>
      <c r="Y266" s="13"/>
      <c r="Z266" s="14"/>
      <c r="AA266" s="13"/>
      <c r="AC266" s="25"/>
      <c r="AD266" s="25"/>
      <c r="AE266" s="25"/>
      <c r="AF266" s="25"/>
      <c r="AG266" s="25"/>
      <c r="AH266" s="225" t="s">
        <v>54</v>
      </c>
      <c r="AI266" s="225"/>
      <c r="AJ266" s="225"/>
      <c r="AL266" s="61">
        <v>10</v>
      </c>
      <c r="AM266" s="61">
        <v>12</v>
      </c>
      <c r="AN266" s="61">
        <v>400</v>
      </c>
      <c r="AO266" s="61">
        <v>1</v>
      </c>
      <c r="AP266" s="63">
        <f t="shared" si="91"/>
        <v>4.8000000000000001E-2</v>
      </c>
      <c r="AQ266" s="61"/>
      <c r="AR266" s="63"/>
      <c r="AS266" s="61"/>
      <c r="AU266" s="13">
        <v>7</v>
      </c>
      <c r="AV266" s="13">
        <v>25</v>
      </c>
      <c r="AW266" s="13">
        <v>400</v>
      </c>
      <c r="AX266" s="13">
        <v>3</v>
      </c>
      <c r="AY266" s="14">
        <f t="shared" si="100"/>
        <v>0.21</v>
      </c>
      <c r="AZ266" s="13"/>
      <c r="BA266" s="14"/>
      <c r="BB266" s="13"/>
      <c r="BD266" s="13">
        <v>4.5</v>
      </c>
      <c r="BE266" s="13">
        <v>10</v>
      </c>
      <c r="BF266" s="13">
        <v>400</v>
      </c>
      <c r="BG266" s="13">
        <v>66</v>
      </c>
      <c r="BH266" s="14">
        <f t="shared" si="94"/>
        <v>1.1879999999999999</v>
      </c>
      <c r="BI266" s="13"/>
      <c r="BJ266" s="14"/>
      <c r="BK266" s="13"/>
      <c r="BM266" s="13">
        <v>2.2000000000000002</v>
      </c>
      <c r="BN266" s="13">
        <v>10</v>
      </c>
      <c r="BO266" s="13">
        <v>400</v>
      </c>
      <c r="BP266" s="13">
        <v>4</v>
      </c>
      <c r="BQ266" s="14">
        <f t="shared" si="88"/>
        <v>3.5200000000000002E-2</v>
      </c>
      <c r="BR266" s="13"/>
      <c r="BS266" s="14"/>
      <c r="BT266" s="13"/>
      <c r="BV266" s="13">
        <v>15</v>
      </c>
      <c r="BW266" s="13">
        <v>20</v>
      </c>
      <c r="BX266" s="13">
        <v>400</v>
      </c>
      <c r="BY266" s="13">
        <v>3</v>
      </c>
      <c r="BZ266" s="14">
        <f t="shared" si="98"/>
        <v>0.36</v>
      </c>
      <c r="CA266" s="13"/>
      <c r="CB266" s="14"/>
      <c r="CC266" s="13"/>
      <c r="CE266" s="13">
        <v>10</v>
      </c>
      <c r="CF266" s="13">
        <v>30</v>
      </c>
      <c r="CG266" s="13">
        <v>400</v>
      </c>
      <c r="CH266" s="13">
        <v>8</v>
      </c>
      <c r="CI266" s="14">
        <f t="shared" si="99"/>
        <v>0.96</v>
      </c>
      <c r="CJ266" s="13"/>
      <c r="CK266" s="14"/>
      <c r="CL266" s="41"/>
      <c r="CN266" s="13">
        <v>13</v>
      </c>
      <c r="CO266" s="13">
        <v>25</v>
      </c>
      <c r="CP266" s="13">
        <v>400</v>
      </c>
      <c r="CQ266" s="13">
        <v>1</v>
      </c>
      <c r="CR266" s="14">
        <f t="shared" si="89"/>
        <v>0.13</v>
      </c>
      <c r="CS266" s="13"/>
      <c r="CT266" s="14"/>
      <c r="CU266" s="41"/>
      <c r="CW266" s="13">
        <v>4.5</v>
      </c>
      <c r="CX266" s="13">
        <v>13</v>
      </c>
      <c r="CY266" s="13">
        <v>400</v>
      </c>
      <c r="CZ266" s="13">
        <v>8</v>
      </c>
      <c r="DA266" s="14">
        <f t="shared" si="96"/>
        <v>0.18720000000000001</v>
      </c>
      <c r="DB266" s="13"/>
      <c r="DC266" s="14"/>
      <c r="DD266" s="13"/>
      <c r="DF266" s="13">
        <v>13</v>
      </c>
      <c r="DG266" s="13">
        <v>20</v>
      </c>
      <c r="DH266" s="61">
        <v>400</v>
      </c>
      <c r="DI266" s="13">
        <v>4</v>
      </c>
      <c r="DJ266" s="14">
        <f t="shared" si="97"/>
        <v>0.41599999999999998</v>
      </c>
      <c r="DK266" s="13"/>
      <c r="DL266" s="14"/>
      <c r="DM266" s="41"/>
    </row>
    <row r="267" spans="11:117" ht="15" customHeight="1" x14ac:dyDescent="0.25">
      <c r="K267" s="57">
        <v>3</v>
      </c>
      <c r="L267" s="57">
        <v>5</v>
      </c>
      <c r="M267" s="57">
        <v>300</v>
      </c>
      <c r="N267" s="57">
        <v>10</v>
      </c>
      <c r="O267" s="156">
        <f t="shared" si="90"/>
        <v>4.4999999999999998E-2</v>
      </c>
      <c r="P267" s="57"/>
      <c r="Q267" s="156"/>
      <c r="R267" s="57"/>
      <c r="T267" s="13">
        <v>10</v>
      </c>
      <c r="U267" s="13">
        <v>18</v>
      </c>
      <c r="V267" s="13">
        <v>400</v>
      </c>
      <c r="W267" s="13">
        <v>1</v>
      </c>
      <c r="X267" s="14">
        <f t="shared" si="95"/>
        <v>7.1999999999999995E-2</v>
      </c>
      <c r="Y267" s="13"/>
      <c r="Z267" s="14"/>
      <c r="AA267" s="13"/>
      <c r="AC267" s="226" t="s">
        <v>13</v>
      </c>
      <c r="AD267" s="227"/>
      <c r="AE267" s="228"/>
      <c r="AF267" s="227" t="s">
        <v>12</v>
      </c>
      <c r="AG267" s="228"/>
      <c r="AH267" s="227" t="s">
        <v>12</v>
      </c>
      <c r="AI267" s="228"/>
      <c r="AJ267" s="229" t="s">
        <v>11</v>
      </c>
      <c r="AL267" s="61">
        <v>6</v>
      </c>
      <c r="AM267" s="61">
        <v>15</v>
      </c>
      <c r="AN267" s="61">
        <v>400</v>
      </c>
      <c r="AO267" s="61">
        <v>1</v>
      </c>
      <c r="AP267" s="63">
        <f t="shared" si="91"/>
        <v>3.5999999999999997E-2</v>
      </c>
      <c r="AQ267" s="61"/>
      <c r="AR267" s="63"/>
      <c r="AS267" s="61"/>
      <c r="AU267" s="13">
        <v>10</v>
      </c>
      <c r="AV267" s="13">
        <v>25</v>
      </c>
      <c r="AW267" s="13">
        <v>400</v>
      </c>
      <c r="AX267" s="13">
        <v>9</v>
      </c>
      <c r="AY267" s="14">
        <f t="shared" si="100"/>
        <v>0.9</v>
      </c>
      <c r="AZ267" s="13"/>
      <c r="BA267" s="14"/>
      <c r="BB267" s="13"/>
      <c r="BD267" s="13">
        <v>2.2000000000000002</v>
      </c>
      <c r="BE267" s="13">
        <v>10</v>
      </c>
      <c r="BF267" s="13">
        <v>400</v>
      </c>
      <c r="BG267" s="13">
        <v>23</v>
      </c>
      <c r="BH267" s="14">
        <f t="shared" si="94"/>
        <v>0.2024</v>
      </c>
      <c r="BI267" s="13"/>
      <c r="BJ267" s="14"/>
      <c r="BK267" s="13"/>
      <c r="BM267" s="122">
        <v>5</v>
      </c>
      <c r="BN267" s="122">
        <v>7</v>
      </c>
      <c r="BO267" s="122">
        <v>400</v>
      </c>
      <c r="BP267" s="122">
        <v>96</v>
      </c>
      <c r="BQ267" s="123">
        <f t="shared" si="88"/>
        <v>1.3440000000000001</v>
      </c>
      <c r="BR267" s="122"/>
      <c r="BS267" s="123"/>
      <c r="BT267" s="122"/>
      <c r="BV267" s="13">
        <v>15</v>
      </c>
      <c r="BW267" s="13">
        <v>15</v>
      </c>
      <c r="BX267" s="13">
        <v>400</v>
      </c>
      <c r="BY267" s="13">
        <v>1</v>
      </c>
      <c r="BZ267" s="14">
        <f t="shared" si="98"/>
        <v>0.09</v>
      </c>
      <c r="CA267" s="13"/>
      <c r="CB267" s="14"/>
      <c r="CC267" s="13"/>
      <c r="CE267" s="13">
        <v>13</v>
      </c>
      <c r="CF267" s="13">
        <v>30</v>
      </c>
      <c r="CG267" s="13">
        <v>400</v>
      </c>
      <c r="CH267" s="13">
        <v>5</v>
      </c>
      <c r="CI267" s="14">
        <f t="shared" si="99"/>
        <v>0.78</v>
      </c>
      <c r="CJ267" s="13"/>
      <c r="CK267" s="14"/>
      <c r="CL267" s="41"/>
      <c r="CN267" s="13">
        <v>10</v>
      </c>
      <c r="CO267" s="13">
        <v>25</v>
      </c>
      <c r="CP267" s="13">
        <v>400</v>
      </c>
      <c r="CQ267" s="13">
        <v>1</v>
      </c>
      <c r="CR267" s="14">
        <f t="shared" si="89"/>
        <v>0.1</v>
      </c>
      <c r="CS267" s="13"/>
      <c r="CT267" s="14"/>
      <c r="CU267" s="41"/>
      <c r="CW267" s="13">
        <v>2.2000000000000002</v>
      </c>
      <c r="CX267" s="13">
        <v>13</v>
      </c>
      <c r="CY267" s="13">
        <v>400</v>
      </c>
      <c r="CZ267" s="13">
        <v>2</v>
      </c>
      <c r="DA267" s="14">
        <f t="shared" si="96"/>
        <v>2.2880000000000001E-2</v>
      </c>
      <c r="DB267" s="13"/>
      <c r="DC267" s="14"/>
      <c r="DD267" s="41"/>
      <c r="DF267" s="13">
        <v>10</v>
      </c>
      <c r="DG267" s="13">
        <v>20</v>
      </c>
      <c r="DH267" s="61">
        <v>400</v>
      </c>
      <c r="DI267" s="13">
        <v>10</v>
      </c>
      <c r="DJ267" s="14">
        <f t="shared" si="97"/>
        <v>0.8</v>
      </c>
      <c r="DK267" s="13"/>
      <c r="DL267" s="14"/>
      <c r="DM267" s="41"/>
    </row>
    <row r="268" spans="11:117" ht="15" customHeight="1" x14ac:dyDescent="0.25">
      <c r="K268" s="13">
        <v>2</v>
      </c>
      <c r="L268" s="13">
        <v>10</v>
      </c>
      <c r="M268" s="13">
        <v>300</v>
      </c>
      <c r="N268" s="13">
        <v>7</v>
      </c>
      <c r="O268" s="20">
        <f t="shared" si="90"/>
        <v>4.2000000000000003E-2</v>
      </c>
      <c r="P268" s="13"/>
      <c r="Q268" s="20"/>
      <c r="R268" s="13"/>
      <c r="T268" s="13">
        <v>10</v>
      </c>
      <c r="U268" s="13">
        <v>18</v>
      </c>
      <c r="V268" s="13">
        <v>400</v>
      </c>
      <c r="W268" s="13">
        <v>1</v>
      </c>
      <c r="X268" s="14">
        <f t="shared" si="95"/>
        <v>7.1999999999999995E-2</v>
      </c>
      <c r="Y268" s="13"/>
      <c r="Z268" s="14"/>
      <c r="AA268" s="13"/>
      <c r="AC268" s="24" t="s">
        <v>10</v>
      </c>
      <c r="AD268" s="23" t="s">
        <v>9</v>
      </c>
      <c r="AE268" s="23" t="s">
        <v>8</v>
      </c>
      <c r="AF268" s="22" t="s">
        <v>7</v>
      </c>
      <c r="AG268" s="21" t="s">
        <v>6</v>
      </c>
      <c r="AH268" s="22" t="s">
        <v>7</v>
      </c>
      <c r="AI268" s="21" t="s">
        <v>6</v>
      </c>
      <c r="AJ268" s="230"/>
      <c r="AL268" s="61">
        <v>3</v>
      </c>
      <c r="AM268" s="61">
        <v>15</v>
      </c>
      <c r="AN268" s="61">
        <v>400</v>
      </c>
      <c r="AO268" s="61">
        <v>1</v>
      </c>
      <c r="AP268" s="62">
        <f t="shared" si="91"/>
        <v>1.7999999999999999E-2</v>
      </c>
      <c r="AQ268" s="61"/>
      <c r="AR268" s="62"/>
      <c r="AS268" s="61"/>
      <c r="AU268" s="13">
        <v>13</v>
      </c>
      <c r="AV268" s="13">
        <v>25</v>
      </c>
      <c r="AW268" s="13">
        <v>400</v>
      </c>
      <c r="AX268" s="13">
        <v>7</v>
      </c>
      <c r="AY268" s="14">
        <f t="shared" si="100"/>
        <v>0.91</v>
      </c>
      <c r="AZ268" s="13"/>
      <c r="BA268" s="14"/>
      <c r="BB268" s="13"/>
      <c r="BD268" s="13">
        <v>3.5</v>
      </c>
      <c r="BE268" s="13">
        <v>10</v>
      </c>
      <c r="BF268" s="13">
        <v>400</v>
      </c>
      <c r="BG268" s="13">
        <v>6</v>
      </c>
      <c r="BH268" s="14">
        <f t="shared" si="94"/>
        <v>8.4000000000000005E-2</v>
      </c>
      <c r="BI268" s="13"/>
      <c r="BJ268" s="14"/>
      <c r="BK268" s="13"/>
      <c r="BM268" s="122">
        <v>4</v>
      </c>
      <c r="BN268" s="122">
        <v>6</v>
      </c>
      <c r="BO268" s="122">
        <v>400</v>
      </c>
      <c r="BP268" s="122">
        <v>96</v>
      </c>
      <c r="BQ268" s="123">
        <f t="shared" si="88"/>
        <v>0.92159999999999997</v>
      </c>
      <c r="BR268" s="122"/>
      <c r="BS268" s="123"/>
      <c r="BT268" s="122"/>
      <c r="BV268" s="13">
        <v>3.5</v>
      </c>
      <c r="BW268" s="13">
        <v>15</v>
      </c>
      <c r="BX268" s="13">
        <v>400</v>
      </c>
      <c r="BY268" s="13">
        <v>2</v>
      </c>
      <c r="BZ268" s="14">
        <f t="shared" si="98"/>
        <v>4.2000000000000003E-2</v>
      </c>
      <c r="CA268" s="13"/>
      <c r="CB268" s="14"/>
      <c r="CC268" s="13"/>
      <c r="CE268" s="13">
        <v>15</v>
      </c>
      <c r="CF268" s="13">
        <v>30</v>
      </c>
      <c r="CG268" s="13">
        <v>400</v>
      </c>
      <c r="CH268" s="13">
        <v>3</v>
      </c>
      <c r="CI268" s="14">
        <f t="shared" si="99"/>
        <v>0.54</v>
      </c>
      <c r="CJ268" s="13"/>
      <c r="CK268" s="14"/>
      <c r="CL268" s="41"/>
      <c r="CN268" s="13">
        <v>15</v>
      </c>
      <c r="CO268" s="13">
        <v>20</v>
      </c>
      <c r="CP268" s="13">
        <v>400</v>
      </c>
      <c r="CQ268" s="13">
        <v>1</v>
      </c>
      <c r="CR268" s="14">
        <f t="shared" si="89"/>
        <v>0.12</v>
      </c>
      <c r="CS268" s="13"/>
      <c r="CT268" s="14"/>
      <c r="CU268" s="41"/>
      <c r="CW268" s="13">
        <v>7</v>
      </c>
      <c r="CX268" s="13">
        <v>10</v>
      </c>
      <c r="CY268" s="13">
        <v>400</v>
      </c>
      <c r="CZ268" s="13">
        <v>4</v>
      </c>
      <c r="DA268" s="14">
        <f t="shared" si="93"/>
        <v>0.112</v>
      </c>
      <c r="DB268" s="13"/>
      <c r="DC268" s="14"/>
      <c r="DD268" s="41"/>
      <c r="DF268" s="13">
        <v>7</v>
      </c>
      <c r="DG268" s="13">
        <v>20</v>
      </c>
      <c r="DH268" s="61">
        <v>400</v>
      </c>
      <c r="DI268" s="13">
        <v>4</v>
      </c>
      <c r="DJ268" s="14">
        <f t="shared" si="97"/>
        <v>0.224</v>
      </c>
      <c r="DK268" s="13"/>
      <c r="DL268" s="14"/>
      <c r="DM268" s="41"/>
    </row>
    <row r="269" spans="11:117" ht="15" customHeight="1" x14ac:dyDescent="0.25">
      <c r="K269" s="13">
        <v>12.5</v>
      </c>
      <c r="L269" s="13">
        <v>12.5</v>
      </c>
      <c r="M269" s="13">
        <v>300</v>
      </c>
      <c r="N269" s="13">
        <v>1</v>
      </c>
      <c r="O269" s="20">
        <f t="shared" si="90"/>
        <v>4.6875E-2</v>
      </c>
      <c r="P269" s="13"/>
      <c r="Q269" s="20"/>
      <c r="R269" s="13"/>
      <c r="T269" s="13">
        <v>10</v>
      </c>
      <c r="U269" s="13">
        <v>15</v>
      </c>
      <c r="V269" s="13">
        <v>400</v>
      </c>
      <c r="W269" s="13">
        <v>1</v>
      </c>
      <c r="X269" s="14">
        <f t="shared" si="95"/>
        <v>0.06</v>
      </c>
      <c r="Y269" s="13"/>
      <c r="Z269" s="14"/>
      <c r="AA269" s="13"/>
      <c r="AC269" s="13">
        <v>15</v>
      </c>
      <c r="AD269" s="13">
        <v>31</v>
      </c>
      <c r="AE269" s="13">
        <v>400</v>
      </c>
      <c r="AF269" s="13">
        <v>5</v>
      </c>
      <c r="AG269" s="14">
        <f t="shared" ref="AG269:AG314" si="101">AC269*AD269*AE269*AF269/1000000</f>
        <v>0.93</v>
      </c>
      <c r="AH269" s="13"/>
      <c r="AI269" s="14"/>
      <c r="AJ269" s="13"/>
      <c r="AL269" s="61">
        <v>2</v>
      </c>
      <c r="AM269" s="61">
        <v>15</v>
      </c>
      <c r="AN269" s="61">
        <v>400</v>
      </c>
      <c r="AO269" s="61">
        <v>1</v>
      </c>
      <c r="AP269" s="62">
        <f t="shared" si="91"/>
        <v>1.2E-2</v>
      </c>
      <c r="AQ269" s="61"/>
      <c r="AR269" s="62"/>
      <c r="AS269" s="61"/>
      <c r="AU269" s="13">
        <v>8</v>
      </c>
      <c r="AV269" s="13">
        <v>25</v>
      </c>
      <c r="AW269" s="13">
        <v>400</v>
      </c>
      <c r="AX269" s="13">
        <v>3</v>
      </c>
      <c r="AY269" s="14">
        <f t="shared" si="100"/>
        <v>0.24</v>
      </c>
      <c r="AZ269" s="13"/>
      <c r="BA269" s="14"/>
      <c r="BB269" s="13"/>
      <c r="BD269" s="13">
        <v>1.7</v>
      </c>
      <c r="BE269" s="13">
        <v>10</v>
      </c>
      <c r="BF269" s="13">
        <v>400</v>
      </c>
      <c r="BG269" s="13">
        <v>13</v>
      </c>
      <c r="BH269" s="14">
        <f t="shared" si="94"/>
        <v>8.8400000000000006E-2</v>
      </c>
      <c r="BI269" s="13"/>
      <c r="BJ269" s="14"/>
      <c r="BK269" s="13"/>
      <c r="BM269" s="122">
        <v>3</v>
      </c>
      <c r="BN269" s="122">
        <v>5</v>
      </c>
      <c r="BO269" s="122">
        <v>400</v>
      </c>
      <c r="BP269" s="122">
        <v>350</v>
      </c>
      <c r="BQ269" s="123">
        <f t="shared" si="88"/>
        <v>2.1</v>
      </c>
      <c r="BR269" s="122"/>
      <c r="BS269" s="123"/>
      <c r="BT269" s="122"/>
      <c r="BV269" s="13">
        <v>13</v>
      </c>
      <c r="BW269" s="13">
        <v>15</v>
      </c>
      <c r="BX269" s="13">
        <v>400</v>
      </c>
      <c r="BY269" s="13">
        <v>2</v>
      </c>
      <c r="BZ269" s="14">
        <f t="shared" si="98"/>
        <v>0.156</v>
      </c>
      <c r="CA269" s="13"/>
      <c r="CB269" s="14"/>
      <c r="CC269" s="13"/>
      <c r="CE269" s="13">
        <v>7</v>
      </c>
      <c r="CF269" s="13">
        <v>30</v>
      </c>
      <c r="CG269" s="13">
        <v>400</v>
      </c>
      <c r="CH269" s="13">
        <v>2</v>
      </c>
      <c r="CI269" s="14">
        <f t="shared" si="99"/>
        <v>0.16800000000000001</v>
      </c>
      <c r="CJ269" s="13"/>
      <c r="CK269" s="14"/>
      <c r="CL269" s="41"/>
      <c r="CN269" s="13">
        <v>13</v>
      </c>
      <c r="CO269" s="13">
        <v>20</v>
      </c>
      <c r="CP269" s="13">
        <v>400</v>
      </c>
      <c r="CQ269" s="13">
        <v>1</v>
      </c>
      <c r="CR269" s="14">
        <f t="shared" si="89"/>
        <v>0.104</v>
      </c>
      <c r="CS269" s="13"/>
      <c r="CT269" s="14"/>
      <c r="CU269" s="41"/>
      <c r="CW269" s="13">
        <v>4.5</v>
      </c>
      <c r="CX269" s="13">
        <v>10</v>
      </c>
      <c r="CY269" s="13">
        <v>400</v>
      </c>
      <c r="CZ269" s="13">
        <v>129</v>
      </c>
      <c r="DA269" s="14">
        <f t="shared" si="93"/>
        <v>2.3220000000000001</v>
      </c>
      <c r="DB269" s="13"/>
      <c r="DC269" s="14"/>
      <c r="DD269" s="41"/>
      <c r="DF269" s="13">
        <v>4.5</v>
      </c>
      <c r="DG269" s="13">
        <v>20</v>
      </c>
      <c r="DH269" s="61">
        <v>400</v>
      </c>
      <c r="DI269" s="13">
        <v>5</v>
      </c>
      <c r="DJ269" s="14">
        <f t="shared" si="97"/>
        <v>0.18</v>
      </c>
      <c r="DK269" s="13"/>
      <c r="DL269" s="14"/>
      <c r="DM269" s="41"/>
    </row>
    <row r="270" spans="11:117" ht="15" customHeight="1" x14ac:dyDescent="0.25">
      <c r="K270" s="13">
        <v>6</v>
      </c>
      <c r="L270" s="13">
        <v>10</v>
      </c>
      <c r="M270" s="13">
        <v>300</v>
      </c>
      <c r="N270" s="13">
        <v>1</v>
      </c>
      <c r="O270" s="20">
        <f t="shared" si="90"/>
        <v>1.7999999999999999E-2</v>
      </c>
      <c r="P270" s="13">
        <f>SUM(N267:N270)</f>
        <v>19</v>
      </c>
      <c r="Q270" s="20">
        <f>SUM(O267:O270)</f>
        <v>0.15187499999999998</v>
      </c>
      <c r="R270" s="13"/>
      <c r="T270" s="13">
        <v>10</v>
      </c>
      <c r="U270" s="13">
        <v>10</v>
      </c>
      <c r="V270" s="13">
        <v>400</v>
      </c>
      <c r="W270" s="13">
        <v>3</v>
      </c>
      <c r="X270" s="14">
        <f t="shared" si="95"/>
        <v>0.12</v>
      </c>
      <c r="Y270" s="13">
        <f>SUM(W262:W270)</f>
        <v>31</v>
      </c>
      <c r="Z270" s="14">
        <f>SUM(X262:X270)</f>
        <v>2.5760000000000001</v>
      </c>
      <c r="AA270" s="13"/>
      <c r="AC270" s="13">
        <v>15</v>
      </c>
      <c r="AD270" s="13">
        <v>31</v>
      </c>
      <c r="AE270" s="13">
        <v>300</v>
      </c>
      <c r="AF270" s="13">
        <v>1</v>
      </c>
      <c r="AG270" s="14">
        <f t="shared" si="101"/>
        <v>0.13950000000000001</v>
      </c>
      <c r="AH270" s="13"/>
      <c r="AI270" s="14"/>
      <c r="AJ270" s="13"/>
      <c r="AL270" s="61">
        <v>4.5</v>
      </c>
      <c r="AM270" s="61">
        <v>10</v>
      </c>
      <c r="AN270" s="61">
        <v>400</v>
      </c>
      <c r="AO270" s="61">
        <v>2</v>
      </c>
      <c r="AP270" s="62">
        <f t="shared" si="91"/>
        <v>3.5999999999999997E-2</v>
      </c>
      <c r="AQ270" s="61"/>
      <c r="AR270" s="62"/>
      <c r="AS270" s="61"/>
      <c r="AU270" s="13">
        <v>10</v>
      </c>
      <c r="AV270" s="13">
        <v>25</v>
      </c>
      <c r="AW270" s="13">
        <v>400</v>
      </c>
      <c r="AX270" s="13">
        <v>2</v>
      </c>
      <c r="AY270" s="14">
        <f t="shared" si="100"/>
        <v>0.2</v>
      </c>
      <c r="AZ270" s="13"/>
      <c r="BA270" s="14"/>
      <c r="BB270" s="13"/>
      <c r="BD270" s="13">
        <v>10</v>
      </c>
      <c r="BE270" s="13">
        <v>10</v>
      </c>
      <c r="BF270" s="13">
        <v>400</v>
      </c>
      <c r="BG270" s="13">
        <v>3</v>
      </c>
      <c r="BH270" s="14">
        <f t="shared" si="94"/>
        <v>0.12</v>
      </c>
      <c r="BI270" s="13"/>
      <c r="BJ270" s="14"/>
      <c r="BK270" s="13"/>
      <c r="BM270" s="122">
        <v>2</v>
      </c>
      <c r="BN270" s="122">
        <v>3</v>
      </c>
      <c r="BO270" s="122">
        <v>400</v>
      </c>
      <c r="BP270" s="122">
        <v>900</v>
      </c>
      <c r="BQ270" s="123">
        <f t="shared" si="88"/>
        <v>2.16</v>
      </c>
      <c r="BR270" s="122"/>
      <c r="BS270" s="123"/>
      <c r="BT270" s="122"/>
      <c r="BV270" s="13">
        <v>10</v>
      </c>
      <c r="BW270" s="13">
        <v>15</v>
      </c>
      <c r="BX270" s="13">
        <v>400</v>
      </c>
      <c r="BY270" s="13">
        <v>2</v>
      </c>
      <c r="BZ270" s="14">
        <f t="shared" si="98"/>
        <v>0.12</v>
      </c>
      <c r="CA270" s="13"/>
      <c r="CB270" s="14"/>
      <c r="CC270" s="13"/>
      <c r="CE270" s="13">
        <v>10</v>
      </c>
      <c r="CF270" s="13">
        <v>33</v>
      </c>
      <c r="CG270" s="13">
        <v>400</v>
      </c>
      <c r="CH270" s="13">
        <v>2</v>
      </c>
      <c r="CI270" s="14">
        <f t="shared" si="99"/>
        <v>0.26400000000000001</v>
      </c>
      <c r="CJ270" s="13"/>
      <c r="CK270" s="14"/>
      <c r="CL270" s="41"/>
      <c r="CN270" s="61">
        <v>4.5</v>
      </c>
      <c r="CO270" s="61">
        <v>10</v>
      </c>
      <c r="CP270" s="13">
        <v>400</v>
      </c>
      <c r="CQ270" s="61">
        <v>1</v>
      </c>
      <c r="CR270" s="63">
        <f>CN270*CO270*CP270*CQ270/1000000</f>
        <v>1.7999999999999999E-2</v>
      </c>
      <c r="CS270" s="13"/>
      <c r="CT270" s="14"/>
      <c r="CU270" s="41"/>
      <c r="CW270" s="13">
        <v>3.5</v>
      </c>
      <c r="CX270" s="13">
        <v>10</v>
      </c>
      <c r="CY270" s="13">
        <v>400</v>
      </c>
      <c r="CZ270" s="13">
        <v>8</v>
      </c>
      <c r="DA270" s="14">
        <f t="shared" si="93"/>
        <v>0.112</v>
      </c>
      <c r="DB270" s="13"/>
      <c r="DC270" s="14"/>
      <c r="DD270" s="41"/>
      <c r="DF270" s="13">
        <v>3.5</v>
      </c>
      <c r="DG270" s="13">
        <v>20</v>
      </c>
      <c r="DH270" s="61">
        <v>400</v>
      </c>
      <c r="DI270" s="13">
        <v>1</v>
      </c>
      <c r="DJ270" s="14">
        <f t="shared" si="97"/>
        <v>2.8000000000000001E-2</v>
      </c>
      <c r="DK270" s="13"/>
      <c r="DL270" s="14"/>
      <c r="DM270" s="41"/>
    </row>
    <row r="271" spans="11:117" ht="15" customHeight="1" x14ac:dyDescent="0.25">
      <c r="K271" s="13">
        <v>2</v>
      </c>
      <c r="L271" s="13">
        <v>10</v>
      </c>
      <c r="M271" s="13">
        <v>200</v>
      </c>
      <c r="N271" s="13">
        <v>2</v>
      </c>
      <c r="O271" s="20">
        <f t="shared" si="90"/>
        <v>8.0000000000000002E-3</v>
      </c>
      <c r="P271" s="13">
        <f>SUM(N271)</f>
        <v>2</v>
      </c>
      <c r="Q271" s="20">
        <f>SUM(O271)</f>
        <v>8.0000000000000002E-3</v>
      </c>
      <c r="R271" s="13"/>
      <c r="T271" s="13">
        <v>8</v>
      </c>
      <c r="U271" s="13">
        <v>20</v>
      </c>
      <c r="V271" s="13">
        <v>400</v>
      </c>
      <c r="W271" s="13">
        <v>1</v>
      </c>
      <c r="X271" s="14">
        <f t="shared" si="95"/>
        <v>6.4000000000000001E-2</v>
      </c>
      <c r="Y271" s="13"/>
      <c r="Z271" s="14"/>
      <c r="AA271" s="13"/>
      <c r="AC271" s="13">
        <v>15</v>
      </c>
      <c r="AD271" s="13">
        <v>30</v>
      </c>
      <c r="AE271" s="13">
        <v>400</v>
      </c>
      <c r="AF271" s="13">
        <v>4</v>
      </c>
      <c r="AG271" s="14">
        <f t="shared" si="101"/>
        <v>0.72</v>
      </c>
      <c r="AH271" s="13"/>
      <c r="AI271" s="14"/>
      <c r="AJ271" s="13"/>
      <c r="AL271" s="61">
        <v>2</v>
      </c>
      <c r="AM271" s="61">
        <v>10</v>
      </c>
      <c r="AN271" s="61">
        <v>400</v>
      </c>
      <c r="AO271" s="61">
        <v>4</v>
      </c>
      <c r="AP271" s="62">
        <f t="shared" si="91"/>
        <v>3.2000000000000001E-2</v>
      </c>
      <c r="AQ271" s="64"/>
      <c r="AR271" s="65"/>
      <c r="AS271" s="61"/>
      <c r="AU271" s="13">
        <v>4.5</v>
      </c>
      <c r="AV271" s="13">
        <v>25</v>
      </c>
      <c r="AW271" s="13">
        <v>400</v>
      </c>
      <c r="AX271" s="13">
        <v>3</v>
      </c>
      <c r="AY271" s="14">
        <f t="shared" si="100"/>
        <v>0.13500000000000001</v>
      </c>
      <c r="AZ271" s="13"/>
      <c r="BA271" s="14"/>
      <c r="BB271" s="13"/>
      <c r="BD271" s="13">
        <v>8</v>
      </c>
      <c r="BE271" s="13">
        <v>13</v>
      </c>
      <c r="BF271" s="13">
        <v>400</v>
      </c>
      <c r="BG271" s="13">
        <v>1</v>
      </c>
      <c r="BH271" s="14">
        <f t="shared" si="94"/>
        <v>4.1599999999999998E-2</v>
      </c>
      <c r="BI271" s="13"/>
      <c r="BJ271" s="14"/>
      <c r="BK271" s="13"/>
      <c r="BM271" s="13">
        <v>4.5</v>
      </c>
      <c r="BN271" s="13">
        <v>10</v>
      </c>
      <c r="BO271" s="13">
        <v>300</v>
      </c>
      <c r="BP271" s="13">
        <v>4</v>
      </c>
      <c r="BQ271" s="14">
        <f t="shared" si="88"/>
        <v>5.3999999999999999E-2</v>
      </c>
      <c r="BR271" s="37">
        <f>SUM(BP230:BP271)</f>
        <v>1565</v>
      </c>
      <c r="BS271" s="107">
        <f>SUM(BQ230:BQ271)</f>
        <v>12.116719999999999</v>
      </c>
      <c r="BT271" s="41" t="s">
        <v>23</v>
      </c>
      <c r="BV271" s="13">
        <v>4.5</v>
      </c>
      <c r="BW271" s="13">
        <v>15</v>
      </c>
      <c r="BX271" s="13">
        <v>400</v>
      </c>
      <c r="BY271" s="13">
        <v>4</v>
      </c>
      <c r="BZ271" s="14">
        <f t="shared" si="98"/>
        <v>0.108</v>
      </c>
      <c r="CA271" s="13"/>
      <c r="CB271" s="14"/>
      <c r="CC271" s="13"/>
      <c r="CE271" s="13">
        <v>4.5</v>
      </c>
      <c r="CF271" s="13">
        <v>30</v>
      </c>
      <c r="CG271" s="13">
        <v>400</v>
      </c>
      <c r="CH271" s="13">
        <v>1</v>
      </c>
      <c r="CI271" s="14">
        <f t="shared" si="99"/>
        <v>5.3999999999999999E-2</v>
      </c>
      <c r="CJ271" s="13"/>
      <c r="CK271" s="14"/>
      <c r="CL271" s="41"/>
      <c r="CN271" s="122">
        <v>3</v>
      </c>
      <c r="CO271" s="122">
        <v>5</v>
      </c>
      <c r="CP271" s="122">
        <v>400</v>
      </c>
      <c r="CQ271" s="122">
        <v>180</v>
      </c>
      <c r="CR271" s="123">
        <f t="shared" si="89"/>
        <v>1.08</v>
      </c>
      <c r="CS271" s="122"/>
      <c r="CT271" s="123"/>
      <c r="CU271" s="126"/>
      <c r="CW271" s="13">
        <v>2.2000000000000002</v>
      </c>
      <c r="CX271" s="13">
        <v>10</v>
      </c>
      <c r="CY271" s="13">
        <v>400</v>
      </c>
      <c r="CZ271" s="13">
        <v>94</v>
      </c>
      <c r="DA271" s="14">
        <f t="shared" si="93"/>
        <v>0.82720000000000005</v>
      </c>
      <c r="DB271" s="13"/>
      <c r="DC271" s="14"/>
      <c r="DD271" s="41"/>
      <c r="DF271" s="13">
        <v>2.2000000000000002</v>
      </c>
      <c r="DG271" s="13">
        <v>20</v>
      </c>
      <c r="DH271" s="61">
        <v>400</v>
      </c>
      <c r="DI271" s="13">
        <v>2</v>
      </c>
      <c r="DJ271" s="14">
        <f t="shared" si="97"/>
        <v>3.5200000000000002E-2</v>
      </c>
      <c r="DK271" s="13"/>
      <c r="DL271" s="14"/>
      <c r="DM271" s="41"/>
    </row>
    <row r="272" spans="11:117" ht="15" customHeight="1" thickBot="1" x14ac:dyDescent="0.3">
      <c r="K272" s="245" t="s">
        <v>53</v>
      </c>
      <c r="L272" s="246"/>
      <c r="M272" s="247"/>
      <c r="N272" s="45">
        <f>SUM(N244:N271)</f>
        <v>779</v>
      </c>
      <c r="O272" s="38">
        <f>SUM(O244:O271)</f>
        <v>5.2992749999999997</v>
      </c>
      <c r="P272" s="45">
        <f>SUM(P244:P271)</f>
        <v>779</v>
      </c>
      <c r="Q272" s="38">
        <f>SUM(Q244:Q271)</f>
        <v>5.2992750000000006</v>
      </c>
      <c r="R272" s="45"/>
      <c r="T272" s="13">
        <v>8</v>
      </c>
      <c r="U272" s="13">
        <v>10</v>
      </c>
      <c r="V272" s="13">
        <v>400</v>
      </c>
      <c r="W272" s="13">
        <v>2</v>
      </c>
      <c r="X272" s="14">
        <f t="shared" si="95"/>
        <v>6.4000000000000001E-2</v>
      </c>
      <c r="Y272" s="13"/>
      <c r="Z272" s="14"/>
      <c r="AA272" s="13"/>
      <c r="AC272" s="13">
        <v>15</v>
      </c>
      <c r="AD272" s="13">
        <v>29</v>
      </c>
      <c r="AE272" s="13">
        <v>400</v>
      </c>
      <c r="AF272" s="13">
        <v>3</v>
      </c>
      <c r="AG272" s="14">
        <f t="shared" si="101"/>
        <v>0.52200000000000002</v>
      </c>
      <c r="AH272" s="13"/>
      <c r="AI272" s="14"/>
      <c r="AJ272" s="13"/>
      <c r="AL272" s="61">
        <v>8</v>
      </c>
      <c r="AM272" s="61">
        <v>25</v>
      </c>
      <c r="AN272" s="61">
        <v>400</v>
      </c>
      <c r="AO272" s="61">
        <v>1</v>
      </c>
      <c r="AP272" s="62">
        <f t="shared" si="91"/>
        <v>0.08</v>
      </c>
      <c r="AQ272" s="64"/>
      <c r="AR272" s="65"/>
      <c r="AS272" s="61"/>
      <c r="AU272" s="13">
        <v>7</v>
      </c>
      <c r="AV272" s="13">
        <v>25</v>
      </c>
      <c r="AW272" s="13">
        <v>400</v>
      </c>
      <c r="AX272" s="13">
        <v>1</v>
      </c>
      <c r="AY272" s="14">
        <f t="shared" si="100"/>
        <v>7.0000000000000007E-2</v>
      </c>
      <c r="AZ272" s="13"/>
      <c r="BA272" s="14"/>
      <c r="BB272" s="13"/>
      <c r="BD272" s="13">
        <v>7</v>
      </c>
      <c r="BE272" s="13">
        <v>15</v>
      </c>
      <c r="BF272" s="13">
        <v>400</v>
      </c>
      <c r="BG272" s="13">
        <v>2</v>
      </c>
      <c r="BH272" s="14">
        <f t="shared" si="94"/>
        <v>8.4000000000000005E-2</v>
      </c>
      <c r="BI272" s="13"/>
      <c r="BJ272" s="14"/>
      <c r="BK272" s="13"/>
      <c r="BM272" s="237"/>
      <c r="BN272" s="237"/>
      <c r="BO272" s="238"/>
      <c r="BP272" s="98">
        <f>SUM(BP230:BP271)</f>
        <v>1565</v>
      </c>
      <c r="BQ272" s="48">
        <f>SUM(BQ230:BQ271)</f>
        <v>12.116719999999999</v>
      </c>
      <c r="BR272" s="98">
        <f>SUM(BR230:BR271)</f>
        <v>1565</v>
      </c>
      <c r="BS272" s="48">
        <f>SUM(BS230:BS271)</f>
        <v>12.116719999999999</v>
      </c>
      <c r="BT272" s="104"/>
      <c r="BV272" s="13">
        <v>2.2000000000000002</v>
      </c>
      <c r="BW272" s="13">
        <v>15</v>
      </c>
      <c r="BX272" s="13">
        <v>400</v>
      </c>
      <c r="BY272" s="13">
        <v>3</v>
      </c>
      <c r="BZ272" s="14">
        <f t="shared" si="98"/>
        <v>3.9600000000000003E-2</v>
      </c>
      <c r="CA272" s="13"/>
      <c r="CB272" s="14"/>
      <c r="CC272" s="13"/>
      <c r="CE272" s="13">
        <v>10</v>
      </c>
      <c r="CF272" s="13">
        <v>20</v>
      </c>
      <c r="CG272" s="13">
        <v>400</v>
      </c>
      <c r="CH272" s="13">
        <v>10</v>
      </c>
      <c r="CI272" s="14">
        <f t="shared" si="99"/>
        <v>0.8</v>
      </c>
      <c r="CJ272" s="13"/>
      <c r="CK272" s="14"/>
      <c r="CL272" s="41"/>
      <c r="CN272" s="122">
        <v>2</v>
      </c>
      <c r="CO272" s="122">
        <v>3</v>
      </c>
      <c r="CP272" s="122">
        <v>400</v>
      </c>
      <c r="CQ272" s="122">
        <v>225</v>
      </c>
      <c r="CR272" s="123">
        <f t="shared" si="89"/>
        <v>0.54</v>
      </c>
      <c r="CS272" s="122">
        <f>SUM(CQ258:CQ272)</f>
        <v>427</v>
      </c>
      <c r="CT272" s="194">
        <f>SUM(CR258:CR272)</f>
        <v>3.8620000000000001</v>
      </c>
      <c r="CU272" s="126" t="s">
        <v>23</v>
      </c>
      <c r="CW272" s="13">
        <v>1.7</v>
      </c>
      <c r="CX272" s="13">
        <v>10</v>
      </c>
      <c r="CY272" s="13">
        <v>400</v>
      </c>
      <c r="CZ272" s="13">
        <v>5</v>
      </c>
      <c r="DA272" s="14">
        <f t="shared" si="93"/>
        <v>3.4000000000000002E-2</v>
      </c>
      <c r="DB272" s="13"/>
      <c r="DC272" s="14"/>
      <c r="DD272" s="41"/>
      <c r="DF272" s="13">
        <v>7</v>
      </c>
      <c r="DG272" s="13">
        <v>15</v>
      </c>
      <c r="DH272" s="61">
        <v>400</v>
      </c>
      <c r="DI272" s="13">
        <v>3</v>
      </c>
      <c r="DJ272" s="14">
        <f t="shared" si="97"/>
        <v>0.126</v>
      </c>
      <c r="DK272" s="13"/>
      <c r="DL272" s="14"/>
      <c r="DM272" s="41"/>
    </row>
    <row r="273" spans="11:117" ht="15" customHeight="1" thickTop="1" thickBot="1" x14ac:dyDescent="0.3">
      <c r="K273" s="122">
        <v>5</v>
      </c>
      <c r="L273" s="122">
        <v>7</v>
      </c>
      <c r="M273" s="122">
        <v>400</v>
      </c>
      <c r="N273" s="122">
        <v>44</v>
      </c>
      <c r="O273" s="132">
        <f>K273*L273*M273*N273/1000000</f>
        <v>0.61599999999999999</v>
      </c>
      <c r="P273" s="122"/>
      <c r="Q273" s="132"/>
      <c r="R273" s="122"/>
      <c r="T273" s="13">
        <v>7</v>
      </c>
      <c r="U273" s="13">
        <v>30</v>
      </c>
      <c r="V273" s="13">
        <v>400</v>
      </c>
      <c r="W273" s="13">
        <v>2</v>
      </c>
      <c r="X273" s="14">
        <f t="shared" si="95"/>
        <v>0.16800000000000001</v>
      </c>
      <c r="Y273" s="13"/>
      <c r="Z273" s="14"/>
      <c r="AA273" s="13"/>
      <c r="AC273" s="13">
        <v>15</v>
      </c>
      <c r="AD273" s="13">
        <v>29</v>
      </c>
      <c r="AE273" s="13">
        <v>300</v>
      </c>
      <c r="AF273" s="13">
        <v>2</v>
      </c>
      <c r="AG273" s="14">
        <f t="shared" si="101"/>
        <v>0.26100000000000001</v>
      </c>
      <c r="AH273" s="13"/>
      <c r="AI273" s="14"/>
      <c r="AJ273" s="13"/>
      <c r="AL273" s="61">
        <v>6</v>
      </c>
      <c r="AM273" s="61">
        <v>25</v>
      </c>
      <c r="AN273" s="61">
        <v>400</v>
      </c>
      <c r="AO273" s="61">
        <v>1</v>
      </c>
      <c r="AP273" s="62">
        <f t="shared" si="91"/>
        <v>0.06</v>
      </c>
      <c r="AQ273" s="64"/>
      <c r="AR273" s="65"/>
      <c r="AS273" s="61"/>
      <c r="AU273" s="13">
        <v>13</v>
      </c>
      <c r="AV273" s="13">
        <v>15</v>
      </c>
      <c r="AW273" s="13">
        <v>400</v>
      </c>
      <c r="AX273" s="13">
        <v>1</v>
      </c>
      <c r="AY273" s="14">
        <f t="shared" si="100"/>
        <v>7.8E-2</v>
      </c>
      <c r="AZ273" s="13"/>
      <c r="BA273" s="14"/>
      <c r="BB273" s="13"/>
      <c r="BD273" s="13">
        <v>10</v>
      </c>
      <c r="BE273" s="13">
        <v>30</v>
      </c>
      <c r="BF273" s="13">
        <v>400</v>
      </c>
      <c r="BG273" s="13">
        <v>6</v>
      </c>
      <c r="BH273" s="14">
        <f t="shared" si="94"/>
        <v>0.72</v>
      </c>
      <c r="BI273" s="13"/>
      <c r="BJ273" s="14"/>
      <c r="BK273" s="13"/>
      <c r="BV273" s="13">
        <v>4.5</v>
      </c>
      <c r="BW273" s="13">
        <v>13</v>
      </c>
      <c r="BX273" s="13">
        <v>400</v>
      </c>
      <c r="BY273" s="13">
        <v>4</v>
      </c>
      <c r="BZ273" s="14">
        <f t="shared" si="98"/>
        <v>9.3600000000000003E-2</v>
      </c>
      <c r="CA273" s="13"/>
      <c r="CB273" s="14"/>
      <c r="CC273" s="13"/>
      <c r="CE273" s="13">
        <v>1.7</v>
      </c>
      <c r="CF273" s="13">
        <v>20</v>
      </c>
      <c r="CG273" s="13">
        <v>400</v>
      </c>
      <c r="CH273" s="13">
        <v>1</v>
      </c>
      <c r="CI273" s="14">
        <f t="shared" si="99"/>
        <v>1.3599999999999999E-2</v>
      </c>
      <c r="CJ273" s="13"/>
      <c r="CK273" s="14"/>
      <c r="CL273" s="41"/>
      <c r="CN273" s="115"/>
      <c r="CO273" s="115"/>
      <c r="CP273" s="115"/>
      <c r="CQ273" s="17">
        <f>SUM(CQ234:CQ272)</f>
        <v>599</v>
      </c>
      <c r="CR273" s="32">
        <f>SUM(CR234:CR272)</f>
        <v>10.149999999999999</v>
      </c>
      <c r="CS273" s="17">
        <f>SUM(CS234:CS272)</f>
        <v>599</v>
      </c>
      <c r="CT273" s="32">
        <f>SUM(CT234:CT272)</f>
        <v>10.149999999999999</v>
      </c>
      <c r="CU273" s="146"/>
      <c r="CW273" s="13">
        <v>15</v>
      </c>
      <c r="CX273" s="13">
        <v>20</v>
      </c>
      <c r="CY273" s="13">
        <v>400</v>
      </c>
      <c r="CZ273" s="13">
        <v>2</v>
      </c>
      <c r="DA273" s="14">
        <f t="shared" si="93"/>
        <v>0.24</v>
      </c>
      <c r="DB273" s="13"/>
      <c r="DC273" s="14"/>
      <c r="DD273" s="41"/>
      <c r="DF273" s="13">
        <v>4.5</v>
      </c>
      <c r="DG273" s="13">
        <v>15</v>
      </c>
      <c r="DH273" s="61">
        <v>400</v>
      </c>
      <c r="DI273" s="13">
        <v>9</v>
      </c>
      <c r="DJ273" s="14">
        <f t="shared" si="97"/>
        <v>0.24299999999999999</v>
      </c>
      <c r="DK273" s="13"/>
      <c r="DL273" s="14"/>
      <c r="DM273" s="41"/>
    </row>
    <row r="274" spans="11:117" ht="15" customHeight="1" thickTop="1" x14ac:dyDescent="0.25">
      <c r="K274" s="122">
        <v>3</v>
      </c>
      <c r="L274" s="122">
        <v>5</v>
      </c>
      <c r="M274" s="122">
        <v>400</v>
      </c>
      <c r="N274" s="122">
        <v>810</v>
      </c>
      <c r="O274" s="132">
        <f>K274*L274*M274*N274/1000000</f>
        <v>4.8600000000000003</v>
      </c>
      <c r="P274" s="122"/>
      <c r="Q274" s="132"/>
      <c r="R274" s="122"/>
      <c r="T274" s="13">
        <v>7</v>
      </c>
      <c r="U274" s="13">
        <v>28</v>
      </c>
      <c r="V274" s="13">
        <v>400</v>
      </c>
      <c r="W274" s="13">
        <v>1</v>
      </c>
      <c r="X274" s="14">
        <f t="shared" si="95"/>
        <v>7.8399999999999997E-2</v>
      </c>
      <c r="Y274" s="13"/>
      <c r="Z274" s="14"/>
      <c r="AA274" s="13"/>
      <c r="AC274" s="13">
        <v>15</v>
      </c>
      <c r="AD274" s="13">
        <v>28</v>
      </c>
      <c r="AE274" s="13">
        <v>400</v>
      </c>
      <c r="AF274" s="13">
        <v>1</v>
      </c>
      <c r="AG274" s="14">
        <f t="shared" si="101"/>
        <v>0.16800000000000001</v>
      </c>
      <c r="AH274" s="13"/>
      <c r="AI274" s="14"/>
      <c r="AJ274" s="13"/>
      <c r="AL274" s="61">
        <v>15</v>
      </c>
      <c r="AM274" s="61">
        <v>30</v>
      </c>
      <c r="AN274" s="61">
        <v>400</v>
      </c>
      <c r="AO274" s="61">
        <v>1</v>
      </c>
      <c r="AP274" s="62">
        <f t="shared" si="91"/>
        <v>0.18</v>
      </c>
      <c r="AQ274" s="64"/>
      <c r="AR274" s="65"/>
      <c r="AS274" s="61"/>
      <c r="AU274" s="13">
        <v>2.2000000000000002</v>
      </c>
      <c r="AV274" s="13">
        <v>21</v>
      </c>
      <c r="AW274" s="13">
        <v>400</v>
      </c>
      <c r="AX274" s="13">
        <v>1</v>
      </c>
      <c r="AY274" s="14">
        <f t="shared" si="100"/>
        <v>1.848E-2</v>
      </c>
      <c r="AZ274" s="13"/>
      <c r="BA274" s="14"/>
      <c r="BB274" s="13"/>
      <c r="BD274" s="13">
        <v>13</v>
      </c>
      <c r="BE274" s="13">
        <v>25</v>
      </c>
      <c r="BF274" s="13">
        <v>400</v>
      </c>
      <c r="BG274" s="13">
        <v>10</v>
      </c>
      <c r="BH274" s="14">
        <f t="shared" si="94"/>
        <v>1.3</v>
      </c>
      <c r="BI274" s="13"/>
      <c r="BJ274" s="14"/>
      <c r="BK274" s="13"/>
      <c r="BM274" s="231" t="s">
        <v>19</v>
      </c>
      <c r="BN274" s="231"/>
      <c r="BO274" s="231"/>
      <c r="BP274" s="231"/>
      <c r="BQ274" s="231"/>
      <c r="BR274" s="231"/>
      <c r="BS274" s="231"/>
      <c r="BT274" s="231"/>
      <c r="BV274" s="13">
        <v>2.2000000000000002</v>
      </c>
      <c r="BW274" s="13">
        <v>13</v>
      </c>
      <c r="BX274" s="13">
        <v>400</v>
      </c>
      <c r="BY274" s="13">
        <v>1</v>
      </c>
      <c r="BZ274" s="14">
        <f t="shared" si="98"/>
        <v>1.1440000000000001E-2</v>
      </c>
      <c r="CA274" s="13"/>
      <c r="CB274" s="14"/>
      <c r="CC274" s="13"/>
      <c r="CE274" s="13">
        <v>13</v>
      </c>
      <c r="CF274" s="13">
        <v>20</v>
      </c>
      <c r="CG274" s="13">
        <v>400</v>
      </c>
      <c r="CH274" s="13">
        <v>1</v>
      </c>
      <c r="CI274" s="14">
        <f t="shared" si="99"/>
        <v>0.104</v>
      </c>
      <c r="CJ274" s="13"/>
      <c r="CK274" s="14"/>
      <c r="CL274" s="41"/>
      <c r="CW274" s="13">
        <v>13</v>
      </c>
      <c r="CX274" s="13">
        <v>25</v>
      </c>
      <c r="CY274" s="13">
        <v>400</v>
      </c>
      <c r="CZ274" s="13">
        <v>2</v>
      </c>
      <c r="DA274" s="14">
        <f t="shared" si="93"/>
        <v>0.26</v>
      </c>
      <c r="DB274" s="13"/>
      <c r="DC274" s="14"/>
      <c r="DD274" s="41"/>
      <c r="DF274" s="13">
        <v>4.5</v>
      </c>
      <c r="DG274" s="13">
        <v>13</v>
      </c>
      <c r="DH274" s="61">
        <v>400</v>
      </c>
      <c r="DI274" s="13">
        <v>1</v>
      </c>
      <c r="DJ274" s="14">
        <f t="shared" si="97"/>
        <v>2.3400000000000001E-2</v>
      </c>
      <c r="DK274" s="13"/>
      <c r="DL274" s="14"/>
      <c r="DM274" s="41"/>
    </row>
    <row r="275" spans="11:117" ht="15" customHeight="1" x14ac:dyDescent="0.25">
      <c r="K275" s="122">
        <v>2</v>
      </c>
      <c r="L275" s="122">
        <v>3</v>
      </c>
      <c r="M275" s="122">
        <v>400</v>
      </c>
      <c r="N275" s="122">
        <v>100</v>
      </c>
      <c r="O275" s="132">
        <f>K275*L275*M275*N275/1000000</f>
        <v>0.24</v>
      </c>
      <c r="P275" s="122">
        <f>SUM(N273:N275)</f>
        <v>954</v>
      </c>
      <c r="Q275" s="132">
        <f>SUM(O273:O275)</f>
        <v>5.7160000000000002</v>
      </c>
      <c r="R275" s="122"/>
      <c r="T275" s="13">
        <v>7</v>
      </c>
      <c r="U275" s="13">
        <v>25</v>
      </c>
      <c r="V275" s="13">
        <v>400</v>
      </c>
      <c r="W275" s="13">
        <v>3</v>
      </c>
      <c r="X275" s="14">
        <f t="shared" si="95"/>
        <v>0.21</v>
      </c>
      <c r="Y275" s="13"/>
      <c r="Z275" s="14"/>
      <c r="AA275" s="13"/>
      <c r="AC275" s="13">
        <v>15</v>
      </c>
      <c r="AD275" s="13">
        <v>26</v>
      </c>
      <c r="AE275" s="13">
        <v>400</v>
      </c>
      <c r="AF275" s="13">
        <v>7</v>
      </c>
      <c r="AG275" s="14">
        <f t="shared" si="101"/>
        <v>1.0920000000000001</v>
      </c>
      <c r="AH275" s="13"/>
      <c r="AI275" s="14"/>
      <c r="AJ275" s="13"/>
      <c r="AL275" s="57">
        <v>5</v>
      </c>
      <c r="AM275" s="57">
        <v>7</v>
      </c>
      <c r="AN275" s="57">
        <v>400</v>
      </c>
      <c r="AO275" s="57">
        <v>4</v>
      </c>
      <c r="AP275" s="156">
        <f t="shared" si="91"/>
        <v>5.6000000000000001E-2</v>
      </c>
      <c r="AQ275" s="159"/>
      <c r="AR275" s="165"/>
      <c r="AS275" s="57"/>
      <c r="AU275" s="13">
        <v>10</v>
      </c>
      <c r="AV275" s="13">
        <v>15</v>
      </c>
      <c r="AW275" s="13">
        <v>400</v>
      </c>
      <c r="AX275" s="13">
        <v>2</v>
      </c>
      <c r="AY275" s="14">
        <f t="shared" si="100"/>
        <v>0.12</v>
      </c>
      <c r="AZ275" s="13"/>
      <c r="BA275" s="14"/>
      <c r="BB275" s="13"/>
      <c r="BD275" s="13">
        <v>15</v>
      </c>
      <c r="BE275" s="13">
        <v>20</v>
      </c>
      <c r="BF275" s="13">
        <v>400</v>
      </c>
      <c r="BG275" s="13">
        <v>6</v>
      </c>
      <c r="BH275" s="14">
        <f t="shared" si="94"/>
        <v>0.72</v>
      </c>
      <c r="BI275" s="13"/>
      <c r="BJ275" s="14"/>
      <c r="BK275" s="13"/>
      <c r="BM275" s="231"/>
      <c r="BN275" s="231"/>
      <c r="BO275" s="231"/>
      <c r="BP275" s="231"/>
      <c r="BQ275" s="231"/>
      <c r="BR275" s="231"/>
      <c r="BS275" s="231"/>
      <c r="BT275" s="231"/>
      <c r="BV275" s="13">
        <v>3.5</v>
      </c>
      <c r="BW275" s="13">
        <v>13</v>
      </c>
      <c r="BX275" s="13">
        <v>400</v>
      </c>
      <c r="BY275" s="13">
        <v>1</v>
      </c>
      <c r="BZ275" s="14">
        <f t="shared" si="98"/>
        <v>1.8200000000000001E-2</v>
      </c>
      <c r="CA275" s="13"/>
      <c r="CB275" s="14"/>
      <c r="CC275" s="13"/>
      <c r="CE275" s="13">
        <v>2.2000000000000002</v>
      </c>
      <c r="CF275" s="13">
        <v>20</v>
      </c>
      <c r="CG275" s="13">
        <v>400</v>
      </c>
      <c r="CH275" s="13">
        <v>6</v>
      </c>
      <c r="CI275" s="14">
        <f t="shared" si="99"/>
        <v>0.1056</v>
      </c>
      <c r="CJ275" s="13"/>
      <c r="CK275" s="14"/>
      <c r="CL275" s="41"/>
      <c r="CN275" s="231" t="s">
        <v>19</v>
      </c>
      <c r="CO275" s="231"/>
      <c r="CP275" s="231"/>
      <c r="CQ275" s="231"/>
      <c r="CR275" s="231"/>
      <c r="CS275" s="231"/>
      <c r="CT275" s="231"/>
      <c r="CU275" s="231"/>
      <c r="CW275" s="13">
        <v>7</v>
      </c>
      <c r="CX275" s="13">
        <v>25</v>
      </c>
      <c r="CY275" s="13">
        <v>400</v>
      </c>
      <c r="CZ275" s="13">
        <v>2</v>
      </c>
      <c r="DA275" s="14">
        <f t="shared" si="93"/>
        <v>0.14000000000000001</v>
      </c>
      <c r="DB275" s="13"/>
      <c r="DC275" s="14"/>
      <c r="DD275" s="41"/>
      <c r="DF275" s="13">
        <v>2.2000000000000002</v>
      </c>
      <c r="DG275" s="13">
        <v>13</v>
      </c>
      <c r="DH275" s="61">
        <v>400</v>
      </c>
      <c r="DI275" s="13">
        <v>1</v>
      </c>
      <c r="DJ275" s="14">
        <f t="shared" si="97"/>
        <v>1.1440000000000001E-2</v>
      </c>
      <c r="DK275" s="13"/>
      <c r="DL275" s="14"/>
      <c r="DM275" s="41"/>
    </row>
    <row r="276" spans="11:117" ht="15" customHeight="1" x14ac:dyDescent="0.25">
      <c r="K276" s="245" t="s">
        <v>52</v>
      </c>
      <c r="L276" s="246"/>
      <c r="M276" s="247"/>
      <c r="N276" s="45">
        <f>SUM(N273:N275)</f>
        <v>954</v>
      </c>
      <c r="O276" s="38">
        <f>SUM(O273:O275)</f>
        <v>5.7160000000000002</v>
      </c>
      <c r="P276" s="45">
        <f>SUM(P273:P275)</f>
        <v>954</v>
      </c>
      <c r="Q276" s="38">
        <f>SUM(Q273:Q275)</f>
        <v>5.7160000000000002</v>
      </c>
      <c r="R276" s="45"/>
      <c r="T276" s="13">
        <v>7</v>
      </c>
      <c r="U276" s="13">
        <v>23</v>
      </c>
      <c r="V276" s="13">
        <v>400</v>
      </c>
      <c r="W276" s="13">
        <v>1</v>
      </c>
      <c r="X276" s="14">
        <f t="shared" si="95"/>
        <v>6.4399999999999999E-2</v>
      </c>
      <c r="Y276" s="13"/>
      <c r="Z276" s="14"/>
      <c r="AA276" s="13"/>
      <c r="AC276" s="13">
        <v>15</v>
      </c>
      <c r="AD276" s="13">
        <v>26</v>
      </c>
      <c r="AE276" s="13">
        <v>300</v>
      </c>
      <c r="AF276" s="13">
        <v>1</v>
      </c>
      <c r="AG276" s="14">
        <f t="shared" si="101"/>
        <v>0.11700000000000001</v>
      </c>
      <c r="AH276" s="13"/>
      <c r="AI276" s="14"/>
      <c r="AJ276" s="13"/>
      <c r="AL276" s="57">
        <v>4</v>
      </c>
      <c r="AM276" s="57">
        <v>6</v>
      </c>
      <c r="AN276" s="57">
        <v>400</v>
      </c>
      <c r="AO276" s="57">
        <v>36</v>
      </c>
      <c r="AP276" s="156">
        <f t="shared" si="91"/>
        <v>0.34560000000000002</v>
      </c>
      <c r="AQ276" s="159"/>
      <c r="AR276" s="165"/>
      <c r="AS276" s="57"/>
      <c r="AU276" s="13">
        <v>3.5</v>
      </c>
      <c r="AV276" s="13">
        <v>15</v>
      </c>
      <c r="AW276" s="13">
        <v>400</v>
      </c>
      <c r="AX276" s="13">
        <v>7</v>
      </c>
      <c r="AY276" s="14">
        <f t="shared" si="100"/>
        <v>0.14699999999999999</v>
      </c>
      <c r="AZ276" s="13"/>
      <c r="BA276" s="14"/>
      <c r="BB276" s="13"/>
      <c r="BD276" s="13">
        <v>7</v>
      </c>
      <c r="BE276" s="13">
        <v>20</v>
      </c>
      <c r="BF276" s="13">
        <v>400</v>
      </c>
      <c r="BG276" s="13">
        <v>4</v>
      </c>
      <c r="BH276" s="14">
        <f t="shared" si="94"/>
        <v>0.224</v>
      </c>
      <c r="BI276" s="13"/>
      <c r="BJ276" s="14"/>
      <c r="BK276" s="13"/>
      <c r="BM276" s="28" t="s">
        <v>18</v>
      </c>
      <c r="BN276" s="27" t="s">
        <v>131</v>
      </c>
      <c r="BO276" s="26"/>
      <c r="BP276" s="26"/>
      <c r="BQ276" s="26"/>
      <c r="BR276" s="26"/>
      <c r="BS276" s="26"/>
      <c r="BT276" s="26"/>
      <c r="BV276" s="13">
        <v>7</v>
      </c>
      <c r="BW276" s="13">
        <v>13</v>
      </c>
      <c r="BX276" s="13">
        <v>400</v>
      </c>
      <c r="BY276" s="13">
        <v>1</v>
      </c>
      <c r="BZ276" s="14">
        <f t="shared" si="98"/>
        <v>3.6400000000000002E-2</v>
      </c>
      <c r="CA276" s="13"/>
      <c r="CB276" s="14"/>
      <c r="CC276" s="13"/>
      <c r="CE276" s="13">
        <v>15</v>
      </c>
      <c r="CF276" s="13">
        <v>20</v>
      </c>
      <c r="CG276" s="13">
        <v>400</v>
      </c>
      <c r="CH276" s="13">
        <v>5</v>
      </c>
      <c r="CI276" s="14">
        <f t="shared" si="99"/>
        <v>0.6</v>
      </c>
      <c r="CJ276" s="13"/>
      <c r="CK276" s="14"/>
      <c r="CL276" s="41"/>
      <c r="CN276" s="231"/>
      <c r="CO276" s="231"/>
      <c r="CP276" s="231"/>
      <c r="CQ276" s="231"/>
      <c r="CR276" s="231"/>
      <c r="CS276" s="231"/>
      <c r="CT276" s="231"/>
      <c r="CU276" s="231"/>
      <c r="CW276" s="13">
        <v>7</v>
      </c>
      <c r="CX276" s="13">
        <v>15</v>
      </c>
      <c r="CY276" s="13">
        <v>400</v>
      </c>
      <c r="CZ276" s="13">
        <v>6</v>
      </c>
      <c r="DA276" s="14">
        <f t="shared" si="93"/>
        <v>0.252</v>
      </c>
      <c r="DB276" s="13"/>
      <c r="DC276" s="14"/>
      <c r="DD276" s="41"/>
      <c r="DF276" s="13">
        <v>15</v>
      </c>
      <c r="DG276" s="13">
        <v>15</v>
      </c>
      <c r="DH276" s="61">
        <v>400</v>
      </c>
      <c r="DI276" s="13">
        <v>3</v>
      </c>
      <c r="DJ276" s="14">
        <f t="shared" si="97"/>
        <v>0.27</v>
      </c>
      <c r="DK276" s="13"/>
      <c r="DL276" s="14"/>
      <c r="DM276" s="41"/>
    </row>
    <row r="277" spans="11:117" ht="15" customHeight="1" thickBot="1" x14ac:dyDescent="0.3">
      <c r="K277" s="243"/>
      <c r="L277" s="243"/>
      <c r="M277" s="244"/>
      <c r="N277" s="17">
        <f>SUM(N276,N272)</f>
        <v>1733</v>
      </c>
      <c r="O277" s="44">
        <f>SUM(O276,O272)</f>
        <v>11.015274999999999</v>
      </c>
      <c r="P277" s="17">
        <f>SUM(P276,P272)</f>
        <v>1733</v>
      </c>
      <c r="Q277" s="44">
        <f>SUM(Q276,Q272)</f>
        <v>11.015275000000001</v>
      </c>
      <c r="R277" s="17"/>
      <c r="T277" s="13">
        <v>7</v>
      </c>
      <c r="U277" s="13">
        <v>20</v>
      </c>
      <c r="V277" s="13">
        <v>400</v>
      </c>
      <c r="W277" s="13">
        <v>14</v>
      </c>
      <c r="X277" s="14">
        <f t="shared" si="95"/>
        <v>0.78400000000000003</v>
      </c>
      <c r="Y277" s="13"/>
      <c r="Z277" s="14"/>
      <c r="AA277" s="13"/>
      <c r="AC277" s="13">
        <v>15</v>
      </c>
      <c r="AD277" s="13">
        <v>25</v>
      </c>
      <c r="AE277" s="13">
        <v>400</v>
      </c>
      <c r="AF277" s="13">
        <v>1</v>
      </c>
      <c r="AG277" s="14">
        <f t="shared" si="101"/>
        <v>0.15</v>
      </c>
      <c r="AH277" s="13"/>
      <c r="AI277" s="14"/>
      <c r="AJ277" s="13"/>
      <c r="AL277" s="57">
        <v>3</v>
      </c>
      <c r="AM277" s="57">
        <v>5</v>
      </c>
      <c r="AN277" s="57">
        <v>400</v>
      </c>
      <c r="AO277" s="57">
        <v>50</v>
      </c>
      <c r="AP277" s="156">
        <f t="shared" si="91"/>
        <v>0.3</v>
      </c>
      <c r="AQ277" s="159"/>
      <c r="AR277" s="165"/>
      <c r="AS277" s="57"/>
      <c r="AU277" s="13">
        <v>2.2000000000000002</v>
      </c>
      <c r="AV277" s="13">
        <v>15</v>
      </c>
      <c r="AW277" s="13">
        <v>400</v>
      </c>
      <c r="AX277" s="13">
        <v>9</v>
      </c>
      <c r="AY277" s="14">
        <f t="shared" si="100"/>
        <v>0.1188</v>
      </c>
      <c r="AZ277" s="13"/>
      <c r="BA277" s="14"/>
      <c r="BB277" s="13"/>
      <c r="BD277" s="13">
        <v>15</v>
      </c>
      <c r="BE277" s="13">
        <v>25</v>
      </c>
      <c r="BF277" s="13">
        <v>400</v>
      </c>
      <c r="BG277" s="13">
        <v>5</v>
      </c>
      <c r="BH277" s="14">
        <f t="shared" si="94"/>
        <v>0.75</v>
      </c>
      <c r="BI277" s="13"/>
      <c r="BJ277" s="14"/>
      <c r="BK277" s="13"/>
      <c r="BM277" s="28" t="s">
        <v>16</v>
      </c>
      <c r="BN277" s="27" t="s">
        <v>35</v>
      </c>
      <c r="BO277" s="26"/>
      <c r="BP277" s="26"/>
      <c r="BQ277" s="26"/>
      <c r="BR277" s="26"/>
      <c r="BS277" s="26"/>
      <c r="BT277" s="26"/>
      <c r="BV277" s="13">
        <v>7</v>
      </c>
      <c r="BW277" s="13">
        <v>15</v>
      </c>
      <c r="BX277" s="13">
        <v>400</v>
      </c>
      <c r="BY277" s="13">
        <v>2</v>
      </c>
      <c r="BZ277" s="14">
        <f t="shared" si="98"/>
        <v>8.4000000000000005E-2</v>
      </c>
      <c r="CA277" s="13"/>
      <c r="CB277" s="14"/>
      <c r="CC277" s="13"/>
      <c r="CE277" s="13">
        <v>4.5</v>
      </c>
      <c r="CF277" s="13">
        <v>20</v>
      </c>
      <c r="CG277" s="13">
        <v>400</v>
      </c>
      <c r="CH277" s="13">
        <v>4</v>
      </c>
      <c r="CI277" s="14">
        <f t="shared" si="99"/>
        <v>0.14399999999999999</v>
      </c>
      <c r="CJ277" s="13"/>
      <c r="CK277" s="14"/>
      <c r="CL277" s="41"/>
      <c r="CN277" s="28" t="s">
        <v>18</v>
      </c>
      <c r="CO277" s="27" t="s">
        <v>34</v>
      </c>
      <c r="CP277" s="26"/>
      <c r="CQ277" s="26"/>
      <c r="CR277" s="26"/>
      <c r="CS277" s="26"/>
      <c r="CT277" s="236"/>
      <c r="CU277" s="236"/>
      <c r="CW277" s="13">
        <v>10</v>
      </c>
      <c r="CX277" s="13">
        <v>10</v>
      </c>
      <c r="CY277" s="13">
        <v>400</v>
      </c>
      <c r="CZ277" s="13">
        <v>4</v>
      </c>
      <c r="DA277" s="14">
        <f t="shared" si="93"/>
        <v>0.16</v>
      </c>
      <c r="DB277" s="13"/>
      <c r="DC277" s="14"/>
      <c r="DD277" s="41"/>
      <c r="DF277" s="13">
        <v>13</v>
      </c>
      <c r="DG277" s="13">
        <v>15</v>
      </c>
      <c r="DH277" s="61">
        <v>400</v>
      </c>
      <c r="DI277" s="13">
        <v>1</v>
      </c>
      <c r="DJ277" s="14">
        <f t="shared" si="97"/>
        <v>7.8E-2</v>
      </c>
      <c r="DK277" s="13"/>
      <c r="DL277" s="14"/>
      <c r="DM277" s="41"/>
    </row>
    <row r="278" spans="11:117" ht="15" customHeight="1" thickTop="1" x14ac:dyDescent="0.25">
      <c r="T278" s="13">
        <v>7</v>
      </c>
      <c r="U278" s="13">
        <v>20</v>
      </c>
      <c r="V278" s="13">
        <v>400</v>
      </c>
      <c r="W278" s="13">
        <v>1</v>
      </c>
      <c r="X278" s="14">
        <f t="shared" si="95"/>
        <v>5.6000000000000001E-2</v>
      </c>
      <c r="Y278" s="13"/>
      <c r="Z278" s="14"/>
      <c r="AA278" s="13"/>
      <c r="AC278" s="13">
        <v>15</v>
      </c>
      <c r="AD278" s="13">
        <v>25</v>
      </c>
      <c r="AE278" s="13">
        <v>300</v>
      </c>
      <c r="AF278" s="13">
        <v>1</v>
      </c>
      <c r="AG278" s="14">
        <f t="shared" si="101"/>
        <v>0.1125</v>
      </c>
      <c r="AH278" s="13"/>
      <c r="AI278" s="14"/>
      <c r="AJ278" s="13"/>
      <c r="AL278" s="57">
        <v>2</v>
      </c>
      <c r="AM278" s="57">
        <v>3</v>
      </c>
      <c r="AN278" s="57">
        <v>400</v>
      </c>
      <c r="AO278" s="57">
        <v>100</v>
      </c>
      <c r="AP278" s="156">
        <f t="shared" si="91"/>
        <v>0.24</v>
      </c>
      <c r="AQ278" s="159"/>
      <c r="AR278" s="165"/>
      <c r="AS278" s="57"/>
      <c r="AU278" s="13">
        <v>4.5</v>
      </c>
      <c r="AV278" s="13">
        <v>15</v>
      </c>
      <c r="AW278" s="13">
        <v>400</v>
      </c>
      <c r="AX278" s="13">
        <v>6</v>
      </c>
      <c r="AY278" s="14">
        <f t="shared" si="100"/>
        <v>0.16200000000000001</v>
      </c>
      <c r="AZ278" s="13"/>
      <c r="BA278" s="14"/>
      <c r="BB278" s="13"/>
      <c r="BD278" s="13">
        <v>13</v>
      </c>
      <c r="BE278" s="13">
        <v>30</v>
      </c>
      <c r="BF278" s="13">
        <v>400</v>
      </c>
      <c r="BG278" s="13">
        <v>2</v>
      </c>
      <c r="BH278" s="14">
        <f t="shared" si="94"/>
        <v>0.312</v>
      </c>
      <c r="BI278" s="13"/>
      <c r="BJ278" s="14"/>
      <c r="BK278" s="13"/>
      <c r="BM278" s="43"/>
      <c r="BN278" s="25"/>
      <c r="BO278" s="25"/>
      <c r="BP278" s="25"/>
      <c r="BQ278" s="25"/>
      <c r="BR278" s="225" t="s">
        <v>124</v>
      </c>
      <c r="BS278" s="225"/>
      <c r="BT278" s="225"/>
      <c r="BV278" s="13">
        <v>4.5</v>
      </c>
      <c r="BW278" s="13">
        <v>10</v>
      </c>
      <c r="BX278" s="13">
        <v>400</v>
      </c>
      <c r="BY278" s="13">
        <v>48</v>
      </c>
      <c r="BZ278" s="14">
        <f t="shared" si="98"/>
        <v>0.86399999999999999</v>
      </c>
      <c r="CA278" s="13"/>
      <c r="CB278" s="14"/>
      <c r="CC278" s="13"/>
      <c r="CE278" s="13">
        <v>10</v>
      </c>
      <c r="CF278" s="13">
        <v>15</v>
      </c>
      <c r="CG278" s="13">
        <v>400</v>
      </c>
      <c r="CH278" s="13">
        <v>2</v>
      </c>
      <c r="CI278" s="14">
        <f t="shared" si="99"/>
        <v>0.12</v>
      </c>
      <c r="CJ278" s="13"/>
      <c r="CK278" s="14"/>
      <c r="CL278" s="41"/>
      <c r="CN278" s="28" t="s">
        <v>16</v>
      </c>
      <c r="CO278" s="27" t="s">
        <v>33</v>
      </c>
      <c r="CP278" s="26"/>
      <c r="CQ278" s="26"/>
      <c r="CR278" s="26"/>
      <c r="CS278" s="26"/>
      <c r="CT278" s="236"/>
      <c r="CU278" s="236"/>
      <c r="CW278" s="13">
        <v>15</v>
      </c>
      <c r="CX278" s="13">
        <v>30</v>
      </c>
      <c r="CY278" s="13">
        <v>400</v>
      </c>
      <c r="CZ278" s="13">
        <v>2</v>
      </c>
      <c r="DA278" s="14">
        <f t="shared" si="93"/>
        <v>0.36</v>
      </c>
      <c r="DB278" s="13"/>
      <c r="DC278" s="14"/>
      <c r="DD278" s="41"/>
      <c r="DF278" s="13">
        <v>10</v>
      </c>
      <c r="DG278" s="13">
        <v>15</v>
      </c>
      <c r="DH278" s="61">
        <v>400</v>
      </c>
      <c r="DI278" s="13">
        <v>6</v>
      </c>
      <c r="DJ278" s="14">
        <f t="shared" si="97"/>
        <v>0.36</v>
      </c>
      <c r="DK278" s="37"/>
      <c r="DL278" s="14"/>
      <c r="DM278" s="41"/>
    </row>
    <row r="279" spans="11:117" ht="15" customHeight="1" x14ac:dyDescent="0.25">
      <c r="K279" s="8" t="s">
        <v>49</v>
      </c>
      <c r="L279" s="4"/>
      <c r="M279" s="4"/>
      <c r="N279" s="4"/>
      <c r="T279" s="13">
        <v>7</v>
      </c>
      <c r="U279" s="13">
        <v>18</v>
      </c>
      <c r="V279" s="13">
        <v>400</v>
      </c>
      <c r="W279" s="13">
        <v>1</v>
      </c>
      <c r="X279" s="14">
        <f t="shared" si="95"/>
        <v>5.04E-2</v>
      </c>
      <c r="Y279" s="13"/>
      <c r="Z279" s="14"/>
      <c r="AA279" s="13"/>
      <c r="AC279" s="13">
        <v>15</v>
      </c>
      <c r="AD279" s="13">
        <v>22</v>
      </c>
      <c r="AE279" s="13">
        <v>300</v>
      </c>
      <c r="AF279" s="13">
        <v>4</v>
      </c>
      <c r="AG279" s="14">
        <f t="shared" si="101"/>
        <v>0.39600000000000002</v>
      </c>
      <c r="AH279" s="13"/>
      <c r="AI279" s="14"/>
      <c r="AJ279" s="13"/>
      <c r="AL279" s="68">
        <v>15</v>
      </c>
      <c r="AM279" s="68">
        <v>20</v>
      </c>
      <c r="AN279" s="68">
        <v>300</v>
      </c>
      <c r="AO279" s="68">
        <v>1</v>
      </c>
      <c r="AP279" s="62">
        <f t="shared" ref="AP279:AP301" si="102">AL279*AM279*AN279*AO279/1000000</f>
        <v>0.09</v>
      </c>
      <c r="AQ279" s="64"/>
      <c r="AR279" s="65"/>
      <c r="AS279" s="61"/>
      <c r="AU279" s="13">
        <v>3.5</v>
      </c>
      <c r="AV279" s="13">
        <v>15</v>
      </c>
      <c r="AW279" s="13">
        <v>400</v>
      </c>
      <c r="AX279" s="13">
        <v>2</v>
      </c>
      <c r="AY279" s="14">
        <f t="shared" si="100"/>
        <v>4.2000000000000003E-2</v>
      </c>
      <c r="AZ279" s="13"/>
      <c r="BA279" s="14"/>
      <c r="BB279" s="13"/>
      <c r="BD279" s="13">
        <v>15</v>
      </c>
      <c r="BE279" s="13">
        <v>30</v>
      </c>
      <c r="BF279" s="13">
        <v>400</v>
      </c>
      <c r="BG279" s="13">
        <v>1</v>
      </c>
      <c r="BH279" s="14">
        <f t="shared" si="94"/>
        <v>0.18</v>
      </c>
      <c r="BI279" s="13"/>
      <c r="BJ279" s="14"/>
      <c r="BK279" s="13"/>
      <c r="BM279" s="226" t="s">
        <v>13</v>
      </c>
      <c r="BN279" s="227"/>
      <c r="BO279" s="228"/>
      <c r="BP279" s="227" t="s">
        <v>12</v>
      </c>
      <c r="BQ279" s="228"/>
      <c r="BR279" s="227" t="s">
        <v>12</v>
      </c>
      <c r="BS279" s="228"/>
      <c r="BT279" s="229" t="s">
        <v>11</v>
      </c>
      <c r="BV279" s="13">
        <v>3.5</v>
      </c>
      <c r="BW279" s="13">
        <v>10</v>
      </c>
      <c r="BX279" s="13">
        <v>400</v>
      </c>
      <c r="BY279" s="13">
        <v>10</v>
      </c>
      <c r="BZ279" s="14">
        <f t="shared" si="98"/>
        <v>0.14000000000000001</v>
      </c>
      <c r="CA279" s="13"/>
      <c r="CB279" s="14"/>
      <c r="CC279" s="13"/>
      <c r="CE279" s="13">
        <v>7</v>
      </c>
      <c r="CF279" s="13">
        <v>15</v>
      </c>
      <c r="CG279" s="13">
        <v>400</v>
      </c>
      <c r="CH279" s="13">
        <v>2</v>
      </c>
      <c r="CI279" s="14">
        <f t="shared" si="99"/>
        <v>8.4000000000000005E-2</v>
      </c>
      <c r="CJ279" s="13"/>
      <c r="CK279" s="14"/>
      <c r="CL279" s="41"/>
      <c r="CN279" s="43"/>
      <c r="CO279" s="25"/>
      <c r="CP279" s="25"/>
      <c r="CQ279" s="25"/>
      <c r="CR279" s="25"/>
      <c r="CS279" s="225" t="s">
        <v>167</v>
      </c>
      <c r="CT279" s="225"/>
      <c r="CU279" s="225"/>
      <c r="CW279" s="13">
        <v>13</v>
      </c>
      <c r="CX279" s="13">
        <v>30</v>
      </c>
      <c r="CY279" s="13">
        <v>400</v>
      </c>
      <c r="CZ279" s="13">
        <v>1</v>
      </c>
      <c r="DA279" s="14">
        <f t="shared" si="93"/>
        <v>0.156</v>
      </c>
      <c r="DB279" s="13"/>
      <c r="DC279" s="14"/>
      <c r="DD279" s="41"/>
      <c r="DF279" s="13">
        <v>2.2000000000000002</v>
      </c>
      <c r="DG279" s="13">
        <v>15</v>
      </c>
      <c r="DH279" s="61">
        <v>400</v>
      </c>
      <c r="DI279" s="13">
        <v>11</v>
      </c>
      <c r="DJ279" s="14">
        <f t="shared" si="97"/>
        <v>0.1452</v>
      </c>
      <c r="DK279" s="13"/>
      <c r="DL279" s="14"/>
      <c r="DM279" s="13"/>
    </row>
    <row r="280" spans="11:117" ht="15" customHeight="1" x14ac:dyDescent="0.25">
      <c r="K280" s="4" t="s">
        <v>3</v>
      </c>
      <c r="L280" s="4"/>
      <c r="M280" s="6">
        <f>SUM(N207)</f>
        <v>1675</v>
      </c>
      <c r="N280" s="5">
        <f>SUM(O207)</f>
        <v>11.1212</v>
      </c>
      <c r="O280" t="s">
        <v>48</v>
      </c>
      <c r="T280" s="13">
        <v>7</v>
      </c>
      <c r="U280" s="13">
        <v>13</v>
      </c>
      <c r="V280" s="13">
        <v>400</v>
      </c>
      <c r="W280" s="13">
        <v>1</v>
      </c>
      <c r="X280" s="14">
        <f t="shared" si="95"/>
        <v>3.6400000000000002E-2</v>
      </c>
      <c r="Y280" s="13"/>
      <c r="Z280" s="14"/>
      <c r="AA280" s="13"/>
      <c r="AC280" s="13">
        <v>15</v>
      </c>
      <c r="AD280" s="13">
        <v>20</v>
      </c>
      <c r="AE280" s="13">
        <v>400</v>
      </c>
      <c r="AF280" s="13">
        <v>2</v>
      </c>
      <c r="AG280" s="14">
        <f t="shared" si="101"/>
        <v>0.24</v>
      </c>
      <c r="AH280" s="13"/>
      <c r="AI280" s="14"/>
      <c r="AJ280" s="13"/>
      <c r="AL280" s="68">
        <v>2</v>
      </c>
      <c r="AM280" s="68">
        <v>15</v>
      </c>
      <c r="AN280" s="68">
        <v>300</v>
      </c>
      <c r="AO280" s="68">
        <v>1</v>
      </c>
      <c r="AP280" s="62">
        <f t="shared" si="102"/>
        <v>8.9999999999999993E-3</v>
      </c>
      <c r="AQ280" s="64"/>
      <c r="AR280" s="65"/>
      <c r="AS280" s="61"/>
      <c r="AU280" s="13">
        <v>1.7</v>
      </c>
      <c r="AV280" s="13">
        <v>10</v>
      </c>
      <c r="AW280" s="13">
        <v>400</v>
      </c>
      <c r="AX280" s="13">
        <v>24</v>
      </c>
      <c r="AY280" s="14">
        <f t="shared" si="100"/>
        <v>0.16320000000000001</v>
      </c>
      <c r="AZ280" s="13"/>
      <c r="BA280" s="14"/>
      <c r="BB280" s="13"/>
      <c r="BD280" s="13">
        <v>8</v>
      </c>
      <c r="BE280" s="13">
        <v>10</v>
      </c>
      <c r="BF280" s="13">
        <v>400</v>
      </c>
      <c r="BG280" s="13">
        <v>2</v>
      </c>
      <c r="BH280" s="14">
        <f t="shared" si="94"/>
        <v>6.4000000000000001E-2</v>
      </c>
      <c r="BI280" s="13"/>
      <c r="BJ280" s="14"/>
      <c r="BK280" s="13"/>
      <c r="BM280" s="24" t="s">
        <v>10</v>
      </c>
      <c r="BN280" s="23" t="s">
        <v>9</v>
      </c>
      <c r="BO280" s="23" t="s">
        <v>8</v>
      </c>
      <c r="BP280" s="22" t="s">
        <v>7</v>
      </c>
      <c r="BQ280" s="21" t="s">
        <v>6</v>
      </c>
      <c r="BR280" s="22" t="s">
        <v>7</v>
      </c>
      <c r="BS280" s="21" t="s">
        <v>6</v>
      </c>
      <c r="BT280" s="230"/>
      <c r="BV280" s="13">
        <v>2.2000000000000002</v>
      </c>
      <c r="BW280" s="13">
        <v>10</v>
      </c>
      <c r="BX280" s="13">
        <v>400</v>
      </c>
      <c r="BY280" s="13">
        <v>14</v>
      </c>
      <c r="BZ280" s="14">
        <f t="shared" si="98"/>
        <v>0.1232</v>
      </c>
      <c r="CA280" s="13"/>
      <c r="CB280" s="14"/>
      <c r="CC280" s="13"/>
      <c r="CE280" s="13">
        <v>2.2000000000000002</v>
      </c>
      <c r="CF280" s="13">
        <v>15</v>
      </c>
      <c r="CG280" s="13">
        <v>400</v>
      </c>
      <c r="CH280" s="13">
        <v>6</v>
      </c>
      <c r="CI280" s="14">
        <f t="shared" si="99"/>
        <v>7.9200000000000007E-2</v>
      </c>
      <c r="CJ280" s="13"/>
      <c r="CK280" s="14"/>
      <c r="CL280" s="41"/>
      <c r="CN280" s="226" t="s">
        <v>13</v>
      </c>
      <c r="CO280" s="227"/>
      <c r="CP280" s="228"/>
      <c r="CQ280" s="227" t="s">
        <v>12</v>
      </c>
      <c r="CR280" s="228"/>
      <c r="CS280" s="227" t="s">
        <v>12</v>
      </c>
      <c r="CT280" s="228"/>
      <c r="CU280" s="229" t="s">
        <v>11</v>
      </c>
      <c r="CW280" s="13">
        <v>7</v>
      </c>
      <c r="CX280" s="13">
        <v>30</v>
      </c>
      <c r="CY280" s="13">
        <v>400</v>
      </c>
      <c r="CZ280" s="13">
        <v>1</v>
      </c>
      <c r="DA280" s="14">
        <f t="shared" si="93"/>
        <v>8.4000000000000005E-2</v>
      </c>
      <c r="DB280" s="13"/>
      <c r="DC280" s="14"/>
      <c r="DD280" s="41"/>
      <c r="DF280" s="13">
        <v>3.5</v>
      </c>
      <c r="DG280" s="13">
        <v>15</v>
      </c>
      <c r="DH280" s="61">
        <v>400</v>
      </c>
      <c r="DI280" s="13">
        <v>4</v>
      </c>
      <c r="DJ280" s="14">
        <f t="shared" si="97"/>
        <v>8.4000000000000005E-2</v>
      </c>
      <c r="DK280" s="13"/>
      <c r="DL280" s="14"/>
      <c r="DM280" s="13"/>
    </row>
    <row r="281" spans="11:117" ht="15" customHeight="1" x14ac:dyDescent="0.25">
      <c r="K281" s="4" t="s">
        <v>2</v>
      </c>
      <c r="L281" s="4"/>
      <c r="M281" s="6">
        <f>SUM(N235)</f>
        <v>495</v>
      </c>
      <c r="N281" s="5">
        <f>SUM(O235)</f>
        <v>10.4291</v>
      </c>
      <c r="O281" t="s">
        <v>47</v>
      </c>
      <c r="T281" s="13">
        <v>7</v>
      </c>
      <c r="U281" s="13">
        <v>10</v>
      </c>
      <c r="V281" s="13">
        <v>400</v>
      </c>
      <c r="W281" s="13">
        <v>5</v>
      </c>
      <c r="X281" s="14">
        <f t="shared" si="95"/>
        <v>0.14000000000000001</v>
      </c>
      <c r="Y281" s="13">
        <f>SUM(W271:W281)</f>
        <v>32</v>
      </c>
      <c r="Z281" s="14">
        <f>SUM(X271:X281)</f>
        <v>1.7156000000000002</v>
      </c>
      <c r="AA281" s="13"/>
      <c r="AC281" s="13">
        <v>15</v>
      </c>
      <c r="AD281" s="13">
        <v>17</v>
      </c>
      <c r="AE281" s="13">
        <v>400</v>
      </c>
      <c r="AF281" s="13">
        <v>2</v>
      </c>
      <c r="AG281" s="14">
        <f t="shared" si="101"/>
        <v>0.20399999999999999</v>
      </c>
      <c r="AH281" s="13"/>
      <c r="AI281" s="14"/>
      <c r="AJ281" s="13"/>
      <c r="AL281" s="68">
        <v>15</v>
      </c>
      <c r="AM281" s="68">
        <v>25</v>
      </c>
      <c r="AN281" s="68">
        <v>300</v>
      </c>
      <c r="AO281" s="68">
        <v>1</v>
      </c>
      <c r="AP281" s="62">
        <f t="shared" si="102"/>
        <v>0.1125</v>
      </c>
      <c r="AQ281" s="64"/>
      <c r="AR281" s="65"/>
      <c r="AS281" s="61"/>
      <c r="AU281" s="13">
        <v>2.2000000000000002</v>
      </c>
      <c r="AV281" s="13">
        <v>10</v>
      </c>
      <c r="AW281" s="13">
        <v>400</v>
      </c>
      <c r="AX281" s="13">
        <v>40</v>
      </c>
      <c r="AY281" s="14">
        <f t="shared" si="100"/>
        <v>0.35199999999999998</v>
      </c>
      <c r="AZ281" s="13"/>
      <c r="BA281" s="14"/>
      <c r="BB281" s="13"/>
      <c r="BD281" s="13">
        <v>7</v>
      </c>
      <c r="BE281" s="13">
        <v>10</v>
      </c>
      <c r="BF281" s="13">
        <v>400</v>
      </c>
      <c r="BG281" s="13">
        <v>1</v>
      </c>
      <c r="BH281" s="14">
        <f t="shared" si="94"/>
        <v>2.8000000000000001E-2</v>
      </c>
      <c r="BI281" s="13"/>
      <c r="BJ281" s="14"/>
      <c r="BK281" s="13"/>
      <c r="BM281" s="13">
        <v>5</v>
      </c>
      <c r="BN281" s="13">
        <v>20</v>
      </c>
      <c r="BO281" s="13">
        <v>400</v>
      </c>
      <c r="BP281" s="13">
        <v>1</v>
      </c>
      <c r="BQ281" s="14">
        <f t="shared" ref="BQ281:BQ292" si="103">BM281*BN281*BO281*BP281/1000000</f>
        <v>0.04</v>
      </c>
      <c r="BR281" s="13"/>
      <c r="BS281" s="14"/>
      <c r="BT281" s="13"/>
      <c r="BV281" s="13">
        <v>1.7</v>
      </c>
      <c r="BW281" s="13">
        <v>10</v>
      </c>
      <c r="BX281" s="13">
        <v>400</v>
      </c>
      <c r="BY281" s="13">
        <v>1</v>
      </c>
      <c r="BZ281" s="14">
        <f t="shared" si="98"/>
        <v>6.7999999999999996E-3</v>
      </c>
      <c r="CA281" s="13"/>
      <c r="CB281" s="14"/>
      <c r="CC281" s="13"/>
      <c r="CE281" s="13">
        <v>4.5</v>
      </c>
      <c r="CF281" s="13">
        <v>15</v>
      </c>
      <c r="CG281" s="13">
        <v>400</v>
      </c>
      <c r="CH281" s="13">
        <v>8</v>
      </c>
      <c r="CI281" s="14">
        <f t="shared" si="99"/>
        <v>0.216</v>
      </c>
      <c r="CJ281" s="13"/>
      <c r="CK281" s="14"/>
      <c r="CL281" s="41"/>
      <c r="CN281" s="24" t="s">
        <v>10</v>
      </c>
      <c r="CO281" s="23" t="s">
        <v>9</v>
      </c>
      <c r="CP281" s="23" t="s">
        <v>8</v>
      </c>
      <c r="CQ281" s="22" t="s">
        <v>7</v>
      </c>
      <c r="CR281" s="21" t="s">
        <v>6</v>
      </c>
      <c r="CS281" s="22" t="s">
        <v>7</v>
      </c>
      <c r="CT281" s="21" t="s">
        <v>6</v>
      </c>
      <c r="CU281" s="230"/>
      <c r="CW281" s="13">
        <v>4.5</v>
      </c>
      <c r="CX281" s="13">
        <v>25</v>
      </c>
      <c r="CY281" s="13">
        <v>400</v>
      </c>
      <c r="CZ281" s="13">
        <v>2</v>
      </c>
      <c r="DA281" s="14">
        <f t="shared" si="93"/>
        <v>0.09</v>
      </c>
      <c r="DB281" s="37"/>
      <c r="DC281" s="36"/>
      <c r="DD281" s="41"/>
      <c r="DF281" s="13">
        <v>4.5</v>
      </c>
      <c r="DG281" s="13">
        <v>10</v>
      </c>
      <c r="DH281" s="61">
        <v>400</v>
      </c>
      <c r="DI281" s="13">
        <v>58</v>
      </c>
      <c r="DJ281" s="14">
        <f t="shared" si="97"/>
        <v>1.044</v>
      </c>
      <c r="DK281" s="13"/>
      <c r="DL281" s="14"/>
      <c r="DM281" s="13"/>
    </row>
    <row r="282" spans="11:117" ht="15" customHeight="1" x14ac:dyDescent="0.25">
      <c r="K282" s="4" t="s">
        <v>1</v>
      </c>
      <c r="L282" s="4"/>
      <c r="M282" s="6">
        <f>SUM(N277)</f>
        <v>1733</v>
      </c>
      <c r="N282" s="5">
        <f>SUM(O277)</f>
        <v>11.015274999999999</v>
      </c>
      <c r="T282" s="13">
        <v>4.5</v>
      </c>
      <c r="U282" s="13">
        <v>25</v>
      </c>
      <c r="V282" s="13">
        <v>400</v>
      </c>
      <c r="W282" s="13">
        <v>1</v>
      </c>
      <c r="X282" s="14">
        <f t="shared" si="95"/>
        <v>4.4999999999999998E-2</v>
      </c>
      <c r="Y282" s="13"/>
      <c r="Z282" s="14"/>
      <c r="AA282" s="13"/>
      <c r="AC282" s="13">
        <v>15</v>
      </c>
      <c r="AD282" s="13">
        <v>17</v>
      </c>
      <c r="AE282" s="13">
        <v>300</v>
      </c>
      <c r="AF282" s="13">
        <v>4</v>
      </c>
      <c r="AG282" s="14">
        <f t="shared" si="101"/>
        <v>0.30599999999999999</v>
      </c>
      <c r="AH282" s="13"/>
      <c r="AI282" s="14"/>
      <c r="AJ282" s="13"/>
      <c r="AL282" s="68">
        <v>12</v>
      </c>
      <c r="AM282" s="68">
        <v>15</v>
      </c>
      <c r="AN282" s="68">
        <v>300</v>
      </c>
      <c r="AO282" s="68">
        <v>1</v>
      </c>
      <c r="AP282" s="62">
        <f t="shared" si="102"/>
        <v>5.3999999999999999E-2</v>
      </c>
      <c r="AQ282" s="64">
        <f>SUM(AO247:AO282)</f>
        <v>261</v>
      </c>
      <c r="AR282" s="65">
        <f>SUM(AP247:AP282)</f>
        <v>7.4886999999999997</v>
      </c>
      <c r="AS282" s="66" t="s">
        <v>21</v>
      </c>
      <c r="AU282" s="13">
        <v>4.5</v>
      </c>
      <c r="AV282" s="13">
        <v>10</v>
      </c>
      <c r="AW282" s="13">
        <v>400</v>
      </c>
      <c r="AX282" s="13">
        <v>68</v>
      </c>
      <c r="AY282" s="14">
        <f t="shared" si="100"/>
        <v>1.224</v>
      </c>
      <c r="AZ282" s="13"/>
      <c r="BA282" s="14"/>
      <c r="BB282" s="13"/>
      <c r="BD282" s="13">
        <v>4.5</v>
      </c>
      <c r="BE282" s="13">
        <v>20</v>
      </c>
      <c r="BF282" s="13">
        <v>400</v>
      </c>
      <c r="BG282" s="13">
        <v>6</v>
      </c>
      <c r="BH282" s="14">
        <f t="shared" si="94"/>
        <v>0.216</v>
      </c>
      <c r="BI282" s="13"/>
      <c r="BJ282" s="14"/>
      <c r="BK282" s="13"/>
      <c r="BM282" s="13">
        <v>8</v>
      </c>
      <c r="BN282" s="13">
        <v>20</v>
      </c>
      <c r="BO282" s="13">
        <v>400</v>
      </c>
      <c r="BP282" s="13">
        <v>1</v>
      </c>
      <c r="BQ282" s="14">
        <f t="shared" si="103"/>
        <v>6.4000000000000001E-2</v>
      </c>
      <c r="BR282" s="13"/>
      <c r="BS282" s="14"/>
      <c r="BT282" s="13"/>
      <c r="BV282" s="13">
        <v>3.5</v>
      </c>
      <c r="BW282" s="13">
        <v>20</v>
      </c>
      <c r="BX282" s="13">
        <v>400</v>
      </c>
      <c r="BY282" s="13">
        <v>1</v>
      </c>
      <c r="BZ282" s="14">
        <f t="shared" si="98"/>
        <v>2.8000000000000001E-2</v>
      </c>
      <c r="CA282" s="13"/>
      <c r="CB282" s="14"/>
      <c r="CC282" s="13"/>
      <c r="CE282" s="13">
        <v>8</v>
      </c>
      <c r="CF282" s="13">
        <v>15</v>
      </c>
      <c r="CG282" s="13">
        <v>400</v>
      </c>
      <c r="CH282" s="13">
        <v>1</v>
      </c>
      <c r="CI282" s="14">
        <f t="shared" si="99"/>
        <v>4.8000000000000001E-2</v>
      </c>
      <c r="CJ282" s="13"/>
      <c r="CK282" s="14"/>
      <c r="CL282" s="41"/>
      <c r="CN282" s="13">
        <v>13</v>
      </c>
      <c r="CO282" s="13">
        <v>25</v>
      </c>
      <c r="CP282" s="13">
        <v>400</v>
      </c>
      <c r="CQ282" s="13">
        <v>6</v>
      </c>
      <c r="CR282" s="14">
        <f t="shared" ref="CR282:CR284" si="104">CN282*CO282*CP282*CQ282/1000000</f>
        <v>0.78</v>
      </c>
      <c r="CS282" s="13"/>
      <c r="CT282" s="14"/>
      <c r="CU282" s="13"/>
      <c r="CW282" s="13">
        <v>2.2000000000000002</v>
      </c>
      <c r="CX282" s="13">
        <v>25</v>
      </c>
      <c r="CY282" s="13">
        <v>400</v>
      </c>
      <c r="CZ282" s="13">
        <v>1</v>
      </c>
      <c r="DA282" s="14">
        <f t="shared" si="93"/>
        <v>2.2000000000000002E-2</v>
      </c>
      <c r="DB282" s="37"/>
      <c r="DC282" s="36"/>
      <c r="DD282" s="41"/>
      <c r="DF282" s="13">
        <v>2.2000000000000002</v>
      </c>
      <c r="DG282" s="13">
        <v>10</v>
      </c>
      <c r="DH282" s="61">
        <v>400</v>
      </c>
      <c r="DI282" s="13">
        <v>21</v>
      </c>
      <c r="DJ282" s="14">
        <f t="shared" si="97"/>
        <v>0.18479999999999999</v>
      </c>
      <c r="DK282" s="13"/>
      <c r="DL282" s="14"/>
      <c r="DM282" s="13"/>
    </row>
    <row r="283" spans="11:117" ht="15" customHeight="1" thickBot="1" x14ac:dyDescent="0.3">
      <c r="K283" s="4"/>
      <c r="L283" s="4"/>
      <c r="M283" s="3">
        <f>SUM(M280:M282)</f>
        <v>3903</v>
      </c>
      <c r="N283" s="2">
        <f>SUM(N280:N282)</f>
        <v>32.565574999999995</v>
      </c>
      <c r="P283" s="8" t="s">
        <v>120</v>
      </c>
      <c r="Q283" s="4"/>
      <c r="R283" s="4"/>
      <c r="T283" s="13">
        <v>4.5</v>
      </c>
      <c r="U283" s="13">
        <v>20</v>
      </c>
      <c r="V283" s="13">
        <v>400</v>
      </c>
      <c r="W283" s="13">
        <v>8</v>
      </c>
      <c r="X283" s="14">
        <f t="shared" si="95"/>
        <v>0.28799999999999998</v>
      </c>
      <c r="Y283" s="13"/>
      <c r="Z283" s="14"/>
      <c r="AA283" s="13"/>
      <c r="AC283" s="13">
        <v>15</v>
      </c>
      <c r="AD283" s="13">
        <v>15</v>
      </c>
      <c r="AE283" s="13">
        <v>400</v>
      </c>
      <c r="AF283" s="13">
        <v>2</v>
      </c>
      <c r="AG283" s="14">
        <f t="shared" si="101"/>
        <v>0.18</v>
      </c>
      <c r="AH283" s="13"/>
      <c r="AI283" s="14"/>
      <c r="AJ283" s="13"/>
      <c r="AL283" s="61">
        <v>7</v>
      </c>
      <c r="AM283" s="61">
        <v>15</v>
      </c>
      <c r="AN283" s="61">
        <v>400</v>
      </c>
      <c r="AO283" s="61">
        <v>3</v>
      </c>
      <c r="AP283" s="62">
        <f>AL283*AM283*AN283*AO283/1000000</f>
        <v>0.126</v>
      </c>
      <c r="AQ283" s="64"/>
      <c r="AR283" s="65"/>
      <c r="AS283" s="61"/>
      <c r="AU283" s="13">
        <v>3.5</v>
      </c>
      <c r="AV283" s="13">
        <v>10</v>
      </c>
      <c r="AW283" s="13">
        <v>400</v>
      </c>
      <c r="AX283" s="13">
        <v>23</v>
      </c>
      <c r="AY283" s="14">
        <f t="shared" si="100"/>
        <v>0.32200000000000001</v>
      </c>
      <c r="AZ283" s="13"/>
      <c r="BA283" s="14"/>
      <c r="BB283" s="13"/>
      <c r="BD283" s="13">
        <v>3.5</v>
      </c>
      <c r="BE283" s="13">
        <v>20</v>
      </c>
      <c r="BF283" s="13">
        <v>400</v>
      </c>
      <c r="BG283" s="13">
        <v>1</v>
      </c>
      <c r="BH283" s="14">
        <f t="shared" si="94"/>
        <v>2.8000000000000001E-2</v>
      </c>
      <c r="BI283" s="13"/>
      <c r="BJ283" s="14"/>
      <c r="BK283" s="13"/>
      <c r="BM283" s="13">
        <v>5</v>
      </c>
      <c r="BN283" s="13">
        <v>12</v>
      </c>
      <c r="BO283" s="13">
        <v>400</v>
      </c>
      <c r="BP283" s="13">
        <v>1</v>
      </c>
      <c r="BQ283" s="14">
        <f t="shared" si="103"/>
        <v>2.4E-2</v>
      </c>
      <c r="BR283" s="13"/>
      <c r="BS283" s="14"/>
      <c r="BT283" s="13"/>
      <c r="BV283" s="122">
        <v>5</v>
      </c>
      <c r="BW283" s="122">
        <v>7</v>
      </c>
      <c r="BX283" s="122">
        <v>400</v>
      </c>
      <c r="BY283" s="122">
        <v>56</v>
      </c>
      <c r="BZ283" s="123">
        <f t="shared" si="98"/>
        <v>0.78400000000000003</v>
      </c>
      <c r="CA283" s="122"/>
      <c r="CB283" s="123"/>
      <c r="CC283" s="122"/>
      <c r="CE283" s="13">
        <v>3.5</v>
      </c>
      <c r="CF283" s="13">
        <v>15</v>
      </c>
      <c r="CG283" s="13">
        <v>400</v>
      </c>
      <c r="CH283" s="13">
        <v>3</v>
      </c>
      <c r="CI283" s="14">
        <f t="shared" si="99"/>
        <v>6.3E-2</v>
      </c>
      <c r="CJ283" s="37"/>
      <c r="CK283" s="36"/>
      <c r="CL283" s="41"/>
      <c r="CN283" s="13">
        <v>15</v>
      </c>
      <c r="CO283" s="13">
        <v>25</v>
      </c>
      <c r="CP283" s="13">
        <v>400</v>
      </c>
      <c r="CQ283" s="13">
        <v>4</v>
      </c>
      <c r="CR283" s="14">
        <f t="shared" si="104"/>
        <v>0.6</v>
      </c>
      <c r="CS283" s="13"/>
      <c r="CT283" s="14"/>
      <c r="CU283" s="13"/>
      <c r="CW283" s="13">
        <v>3.5</v>
      </c>
      <c r="CX283" s="13">
        <v>15</v>
      </c>
      <c r="CY283" s="13">
        <v>400</v>
      </c>
      <c r="CZ283" s="13">
        <v>1</v>
      </c>
      <c r="DA283" s="14">
        <f t="shared" si="93"/>
        <v>2.1000000000000001E-2</v>
      </c>
      <c r="DB283" s="13">
        <f>SUM(CZ251:CZ283)</f>
        <v>409</v>
      </c>
      <c r="DC283" s="47">
        <f>SUM(DA251:DA283)</f>
        <v>11.504680000000004</v>
      </c>
      <c r="DD283" s="13"/>
      <c r="DF283" s="13">
        <v>10</v>
      </c>
      <c r="DG283" s="13">
        <v>10</v>
      </c>
      <c r="DH283" s="61">
        <v>400</v>
      </c>
      <c r="DI283" s="13">
        <v>4</v>
      </c>
      <c r="DJ283" s="14">
        <f t="shared" si="97"/>
        <v>0.16</v>
      </c>
      <c r="DK283" s="13"/>
      <c r="DL283" s="14"/>
      <c r="DM283" s="13"/>
    </row>
    <row r="284" spans="11:117" ht="15" customHeight="1" thickTop="1" x14ac:dyDescent="0.25">
      <c r="P284" s="4" t="s">
        <v>118</v>
      </c>
      <c r="Q284" s="6">
        <f>SUM(N273:N275,N204:N205,)</f>
        <v>2484</v>
      </c>
      <c r="R284" s="5">
        <f>SUM(O273:O275,O204:O205,)</f>
        <v>10.756</v>
      </c>
      <c r="T284" s="13">
        <v>4.5</v>
      </c>
      <c r="U284" s="13">
        <v>20</v>
      </c>
      <c r="V284" s="13">
        <v>400</v>
      </c>
      <c r="W284" s="13">
        <v>2</v>
      </c>
      <c r="X284" s="14">
        <f t="shared" si="95"/>
        <v>7.1999999999999995E-2</v>
      </c>
      <c r="Y284" s="13"/>
      <c r="Z284" s="14"/>
      <c r="AA284" s="13"/>
      <c r="AC284" s="13">
        <v>15</v>
      </c>
      <c r="AD284" s="13">
        <v>15</v>
      </c>
      <c r="AE284" s="13">
        <v>400</v>
      </c>
      <c r="AF284" s="13">
        <v>1</v>
      </c>
      <c r="AG284" s="14">
        <f t="shared" si="101"/>
        <v>0.09</v>
      </c>
      <c r="AH284" s="13"/>
      <c r="AI284" s="14"/>
      <c r="AJ284" s="13"/>
      <c r="AL284" s="61">
        <v>8</v>
      </c>
      <c r="AM284" s="61">
        <v>13</v>
      </c>
      <c r="AN284" s="61">
        <v>400</v>
      </c>
      <c r="AO284" s="61">
        <v>1</v>
      </c>
      <c r="AP284" s="63">
        <f t="shared" si="102"/>
        <v>4.1599999999999998E-2</v>
      </c>
      <c r="AQ284" s="64"/>
      <c r="AR284" s="67"/>
      <c r="AS284" s="61"/>
      <c r="AU284" s="13">
        <v>4.5</v>
      </c>
      <c r="AV284" s="13">
        <v>13</v>
      </c>
      <c r="AW284" s="13">
        <v>400</v>
      </c>
      <c r="AX284" s="13">
        <v>3</v>
      </c>
      <c r="AY284" s="14">
        <f t="shared" si="100"/>
        <v>7.0199999999999999E-2</v>
      </c>
      <c r="AZ284" s="13"/>
      <c r="BA284" s="14"/>
      <c r="BB284" s="13"/>
      <c r="BD284" s="13">
        <v>2.2000000000000002</v>
      </c>
      <c r="BE284" s="13">
        <v>20</v>
      </c>
      <c r="BF284" s="13">
        <v>400</v>
      </c>
      <c r="BG284" s="13">
        <v>1</v>
      </c>
      <c r="BH284" s="14">
        <f t="shared" si="94"/>
        <v>1.7600000000000001E-2</v>
      </c>
      <c r="BI284" s="13"/>
      <c r="BJ284" s="14"/>
      <c r="BK284" s="13"/>
      <c r="BM284" s="13">
        <v>2</v>
      </c>
      <c r="BN284" s="13">
        <v>15</v>
      </c>
      <c r="BO284" s="13">
        <v>400</v>
      </c>
      <c r="BP284" s="13">
        <v>1</v>
      </c>
      <c r="BQ284" s="14">
        <f t="shared" si="103"/>
        <v>1.2E-2</v>
      </c>
      <c r="BR284" s="37"/>
      <c r="BS284" s="36"/>
      <c r="BT284" s="37"/>
      <c r="BV284" s="122">
        <v>4</v>
      </c>
      <c r="BW284" s="122">
        <v>6</v>
      </c>
      <c r="BX284" s="122">
        <v>400</v>
      </c>
      <c r="BY284" s="122">
        <v>90</v>
      </c>
      <c r="BZ284" s="123">
        <f t="shared" si="98"/>
        <v>0.86399999999999999</v>
      </c>
      <c r="CA284" s="122"/>
      <c r="CB284" s="123"/>
      <c r="CC284" s="122"/>
      <c r="CE284" s="13">
        <v>13</v>
      </c>
      <c r="CF284" s="13">
        <v>15</v>
      </c>
      <c r="CG284" s="13">
        <v>400</v>
      </c>
      <c r="CH284" s="13">
        <v>2</v>
      </c>
      <c r="CI284" s="14">
        <f t="shared" si="99"/>
        <v>0.156</v>
      </c>
      <c r="CJ284" s="13"/>
      <c r="CK284" s="14"/>
      <c r="CL284" s="13"/>
      <c r="CN284" s="13">
        <v>7</v>
      </c>
      <c r="CO284" s="13">
        <v>25</v>
      </c>
      <c r="CP284" s="13">
        <v>400</v>
      </c>
      <c r="CQ284" s="13">
        <v>3</v>
      </c>
      <c r="CR284" s="14">
        <f t="shared" si="104"/>
        <v>0.21</v>
      </c>
      <c r="CS284" s="13"/>
      <c r="CT284" s="14"/>
      <c r="CU284" s="13"/>
      <c r="CW284" s="122">
        <v>5</v>
      </c>
      <c r="CX284" s="122">
        <v>7</v>
      </c>
      <c r="CY284" s="122">
        <v>400</v>
      </c>
      <c r="CZ284" s="122">
        <v>52</v>
      </c>
      <c r="DA284" s="123">
        <f>CW284*CX284*CY284*CZ284/1000000</f>
        <v>0.72799999999999998</v>
      </c>
      <c r="DB284" s="122"/>
      <c r="DC284" s="123"/>
      <c r="DD284" s="126"/>
      <c r="DF284" s="13">
        <v>7</v>
      </c>
      <c r="DG284" s="13">
        <v>10</v>
      </c>
      <c r="DH284" s="61">
        <v>400</v>
      </c>
      <c r="DI284" s="13">
        <v>7</v>
      </c>
      <c r="DJ284" s="14">
        <f t="shared" si="97"/>
        <v>0.19600000000000001</v>
      </c>
      <c r="DK284" s="13">
        <f>SUM(DI256:DI284)</f>
        <v>193</v>
      </c>
      <c r="DL284" s="95">
        <f>SUM(DJ256:DJ284)</f>
        <v>9.165639999999998</v>
      </c>
      <c r="DM284" s="13"/>
    </row>
    <row r="285" spans="11:117" ht="15" customHeight="1" x14ac:dyDescent="0.25">
      <c r="P285" s="4" t="s">
        <v>148</v>
      </c>
      <c r="Q285" s="6">
        <f>SUM(N268:N271,N265,N244:N263,N233:N234,N216:N231,N188:N202)</f>
        <v>739</v>
      </c>
      <c r="R285" s="7">
        <f>SUM(O268:O271,O265,O244:O263,O233:O234,O216:O231,O188:O202)</f>
        <v>19.184574999999999</v>
      </c>
      <c r="T285" s="13">
        <v>4.5</v>
      </c>
      <c r="U285" s="13">
        <v>15</v>
      </c>
      <c r="V285" s="13">
        <v>400</v>
      </c>
      <c r="W285" s="13">
        <v>1</v>
      </c>
      <c r="X285" s="14">
        <f t="shared" si="95"/>
        <v>2.7E-2</v>
      </c>
      <c r="Y285" s="13"/>
      <c r="Z285" s="14"/>
      <c r="AA285" s="13"/>
      <c r="AC285" s="13">
        <v>15</v>
      </c>
      <c r="AD285" s="13">
        <v>15</v>
      </c>
      <c r="AE285" s="13">
        <v>300</v>
      </c>
      <c r="AF285" s="13">
        <v>2</v>
      </c>
      <c r="AG285" s="14">
        <f t="shared" si="101"/>
        <v>0.13500000000000001</v>
      </c>
      <c r="AH285" s="13"/>
      <c r="AI285" s="14"/>
      <c r="AJ285" s="13"/>
      <c r="AL285" s="61">
        <v>4.5</v>
      </c>
      <c r="AM285" s="61">
        <v>15</v>
      </c>
      <c r="AN285" s="61">
        <v>400</v>
      </c>
      <c r="AO285" s="61">
        <v>6</v>
      </c>
      <c r="AP285" s="63">
        <f t="shared" si="102"/>
        <v>0.16200000000000001</v>
      </c>
      <c r="AQ285" s="64"/>
      <c r="AR285" s="67"/>
      <c r="AS285" s="61"/>
      <c r="AU285" s="13">
        <v>2.2000000000000002</v>
      </c>
      <c r="AV285" s="13">
        <v>13</v>
      </c>
      <c r="AW285" s="13">
        <v>400</v>
      </c>
      <c r="AX285" s="13">
        <v>1</v>
      </c>
      <c r="AY285" s="14">
        <f t="shared" si="100"/>
        <v>1.1440000000000001E-2</v>
      </c>
      <c r="AZ285" s="13"/>
      <c r="BA285" s="14"/>
      <c r="BB285" s="13"/>
      <c r="BD285" s="13">
        <v>15</v>
      </c>
      <c r="BE285" s="13">
        <v>15</v>
      </c>
      <c r="BF285" s="13">
        <v>400</v>
      </c>
      <c r="BG285" s="13">
        <v>1</v>
      </c>
      <c r="BH285" s="14">
        <f t="shared" si="94"/>
        <v>0.09</v>
      </c>
      <c r="BI285" s="13"/>
      <c r="BJ285" s="14"/>
      <c r="BK285" s="13"/>
      <c r="BM285" s="13">
        <v>10</v>
      </c>
      <c r="BN285" s="13">
        <v>10</v>
      </c>
      <c r="BO285" s="13">
        <v>400</v>
      </c>
      <c r="BP285" s="13">
        <v>1</v>
      </c>
      <c r="BQ285" s="14">
        <f t="shared" si="103"/>
        <v>0.04</v>
      </c>
      <c r="BR285" s="37"/>
      <c r="BS285" s="36"/>
      <c r="BT285" s="41"/>
      <c r="BV285" s="122">
        <v>3</v>
      </c>
      <c r="BW285" s="122">
        <v>5</v>
      </c>
      <c r="BX285" s="122">
        <v>400</v>
      </c>
      <c r="BY285" s="122">
        <v>500</v>
      </c>
      <c r="BZ285" s="123">
        <f t="shared" si="98"/>
        <v>3</v>
      </c>
      <c r="CA285" s="122"/>
      <c r="CB285" s="123"/>
      <c r="CC285" s="122"/>
      <c r="CE285" s="13">
        <v>1.7</v>
      </c>
      <c r="CF285" s="13">
        <v>15</v>
      </c>
      <c r="CG285" s="13">
        <v>400</v>
      </c>
      <c r="CH285" s="13">
        <v>2</v>
      </c>
      <c r="CI285" s="14">
        <f t="shared" si="99"/>
        <v>2.0400000000000001E-2</v>
      </c>
      <c r="CJ285" s="13"/>
      <c r="CK285" s="14"/>
      <c r="CL285" s="13"/>
      <c r="CN285" s="13">
        <v>10</v>
      </c>
      <c r="CO285" s="13">
        <v>25</v>
      </c>
      <c r="CP285" s="13">
        <v>400</v>
      </c>
      <c r="CQ285" s="13">
        <v>7</v>
      </c>
      <c r="CR285" s="14">
        <f t="shared" ref="CR285:CR328" si="105">CN285*CO285*CP285*CQ285/1000000</f>
        <v>0.7</v>
      </c>
      <c r="CS285" s="13"/>
      <c r="CT285" s="14"/>
      <c r="CU285" s="13"/>
      <c r="CW285" s="122">
        <v>4</v>
      </c>
      <c r="CX285" s="122">
        <v>6</v>
      </c>
      <c r="CY285" s="122">
        <v>400</v>
      </c>
      <c r="CZ285" s="122">
        <v>18</v>
      </c>
      <c r="DA285" s="123">
        <f>CW285*CX285*CY285*CZ285/1000000</f>
        <v>0.17280000000000001</v>
      </c>
      <c r="DB285" s="122"/>
      <c r="DC285" s="123"/>
      <c r="DD285" s="126"/>
      <c r="DF285" s="122">
        <v>4</v>
      </c>
      <c r="DG285" s="122">
        <v>6</v>
      </c>
      <c r="DH285" s="122">
        <v>400</v>
      </c>
      <c r="DI285" s="122">
        <v>24</v>
      </c>
      <c r="DJ285" s="123">
        <f>DF285*DG285*DH285*DI285/1000000</f>
        <v>0.23039999999999999</v>
      </c>
      <c r="DK285" s="122"/>
      <c r="DL285" s="123"/>
      <c r="DM285" s="122"/>
    </row>
    <row r="286" spans="11:117" ht="15" customHeight="1" x14ac:dyDescent="0.25">
      <c r="P286" s="4" t="s">
        <v>149</v>
      </c>
      <c r="Q286" s="6">
        <f>SUM(N266:N267,N264,N232,)</f>
        <v>680</v>
      </c>
      <c r="R286" s="5">
        <f>SUM(O266:O267,O264,O232,)</f>
        <v>2.6249999999999996</v>
      </c>
      <c r="T286" s="13">
        <v>4.5</v>
      </c>
      <c r="U286" s="13">
        <v>13</v>
      </c>
      <c r="V286" s="13">
        <v>400</v>
      </c>
      <c r="W286" s="13">
        <v>1</v>
      </c>
      <c r="X286" s="14">
        <f t="shared" ref="X286:X313" si="106">T286*U286*V286*W286/1000000</f>
        <v>2.3400000000000001E-2</v>
      </c>
      <c r="Y286" s="13"/>
      <c r="Z286" s="14"/>
      <c r="AA286" s="13"/>
      <c r="AC286" s="13">
        <v>15</v>
      </c>
      <c r="AD286" s="13">
        <v>12</v>
      </c>
      <c r="AE286" s="13">
        <v>400</v>
      </c>
      <c r="AF286" s="13">
        <v>1</v>
      </c>
      <c r="AG286" s="14">
        <f t="shared" si="101"/>
        <v>7.1999999999999995E-2</v>
      </c>
      <c r="AH286" s="13"/>
      <c r="AI286" s="14"/>
      <c r="AJ286" s="13"/>
      <c r="AL286" s="61">
        <v>3.5</v>
      </c>
      <c r="AM286" s="61">
        <v>15</v>
      </c>
      <c r="AN286" s="61">
        <v>400</v>
      </c>
      <c r="AO286" s="61">
        <v>10</v>
      </c>
      <c r="AP286" s="63">
        <f t="shared" si="102"/>
        <v>0.21</v>
      </c>
      <c r="AQ286" s="64"/>
      <c r="AR286" s="67"/>
      <c r="AS286" s="61"/>
      <c r="AU286" s="13">
        <v>3.5</v>
      </c>
      <c r="AV286" s="13">
        <v>13</v>
      </c>
      <c r="AW286" s="13">
        <v>400</v>
      </c>
      <c r="AX286" s="13">
        <v>4</v>
      </c>
      <c r="AY286" s="14">
        <f t="shared" si="100"/>
        <v>7.2800000000000004E-2</v>
      </c>
      <c r="AZ286" s="13"/>
      <c r="BA286" s="14"/>
      <c r="BB286" s="13"/>
      <c r="BD286" s="13">
        <v>8</v>
      </c>
      <c r="BE286" s="13">
        <v>13</v>
      </c>
      <c r="BF286" s="13">
        <v>400</v>
      </c>
      <c r="BG286" s="13">
        <v>1</v>
      </c>
      <c r="BH286" s="14">
        <f t="shared" si="94"/>
        <v>4.1599999999999998E-2</v>
      </c>
      <c r="BI286" s="13"/>
      <c r="BJ286" s="96"/>
      <c r="BK286" s="13"/>
      <c r="BM286" s="13">
        <v>2</v>
      </c>
      <c r="BN286" s="13">
        <v>10</v>
      </c>
      <c r="BO286" s="13">
        <v>400</v>
      </c>
      <c r="BP286" s="13">
        <v>4</v>
      </c>
      <c r="BQ286" s="14">
        <f t="shared" si="103"/>
        <v>3.2000000000000001E-2</v>
      </c>
      <c r="BR286" s="37"/>
      <c r="BS286" s="36"/>
      <c r="BT286" s="41"/>
      <c r="BV286" s="122">
        <v>2</v>
      </c>
      <c r="BW286" s="122">
        <v>3</v>
      </c>
      <c r="BX286" s="122">
        <v>400</v>
      </c>
      <c r="BY286" s="122">
        <v>675</v>
      </c>
      <c r="BZ286" s="123">
        <f t="shared" si="98"/>
        <v>1.62</v>
      </c>
      <c r="CA286" s="122"/>
      <c r="CB286" s="123"/>
      <c r="CC286" s="122"/>
      <c r="CE286" s="13">
        <v>2.2000000000000002</v>
      </c>
      <c r="CF286" s="13">
        <v>13</v>
      </c>
      <c r="CG286" s="13">
        <v>400</v>
      </c>
      <c r="CH286" s="13">
        <v>2</v>
      </c>
      <c r="CI286" s="14">
        <f t="shared" si="99"/>
        <v>2.2880000000000001E-2</v>
      </c>
      <c r="CJ286" s="13"/>
      <c r="CK286" s="14"/>
      <c r="CL286" s="13"/>
      <c r="CN286" s="13">
        <v>4.5</v>
      </c>
      <c r="CO286" s="13">
        <v>25</v>
      </c>
      <c r="CP286" s="13">
        <v>400</v>
      </c>
      <c r="CQ286" s="13">
        <v>1</v>
      </c>
      <c r="CR286" s="14">
        <f t="shared" si="105"/>
        <v>4.4999999999999998E-2</v>
      </c>
      <c r="CS286" s="13"/>
      <c r="CT286" s="14"/>
      <c r="CU286" s="13"/>
      <c r="CW286" s="122">
        <v>3</v>
      </c>
      <c r="CX286" s="122">
        <v>5</v>
      </c>
      <c r="CY286" s="122">
        <v>400</v>
      </c>
      <c r="CZ286" s="122">
        <v>120</v>
      </c>
      <c r="DA286" s="123">
        <f>CW286*CX286*CY286*CZ286/1000000</f>
        <v>0.72</v>
      </c>
      <c r="DB286" s="122"/>
      <c r="DC286" s="123"/>
      <c r="DD286" s="126"/>
      <c r="DF286" s="122">
        <v>3</v>
      </c>
      <c r="DG286" s="122">
        <v>5</v>
      </c>
      <c r="DH286" s="122">
        <v>400</v>
      </c>
      <c r="DI286" s="122">
        <v>400</v>
      </c>
      <c r="DJ286" s="123">
        <f>DF286*DG286*DH286*DI286/1000000</f>
        <v>2.4</v>
      </c>
      <c r="DK286" s="122"/>
      <c r="DL286" s="123"/>
      <c r="DM286" s="122"/>
    </row>
    <row r="287" spans="11:117" ht="15" customHeight="1" thickBot="1" x14ac:dyDescent="0.3">
      <c r="P287" s="4"/>
      <c r="Q287" s="3">
        <f>SUM(Q284:Q286)</f>
        <v>3903</v>
      </c>
      <c r="R287" s="2">
        <f>SUM(R284:R286)</f>
        <v>32.565574999999995</v>
      </c>
      <c r="T287" s="13">
        <v>4.5</v>
      </c>
      <c r="U287" s="13">
        <v>10</v>
      </c>
      <c r="V287" s="13">
        <v>400</v>
      </c>
      <c r="W287" s="13">
        <v>104</v>
      </c>
      <c r="X287" s="14">
        <f t="shared" si="106"/>
        <v>1.8720000000000001</v>
      </c>
      <c r="Y287" s="13"/>
      <c r="Z287" s="14"/>
      <c r="AA287" s="13"/>
      <c r="AC287" s="13">
        <v>15</v>
      </c>
      <c r="AD287" s="13">
        <v>10</v>
      </c>
      <c r="AE287" s="13">
        <v>400</v>
      </c>
      <c r="AF287" s="13">
        <v>1</v>
      </c>
      <c r="AG287" s="14">
        <f t="shared" si="101"/>
        <v>0.06</v>
      </c>
      <c r="AH287" s="13">
        <f>SUM(AF269:AF287)</f>
        <v>45</v>
      </c>
      <c r="AI287" s="14">
        <f>SUM(AG269:AG287)</f>
        <v>5.8949999999999996</v>
      </c>
      <c r="AJ287" s="13"/>
      <c r="AL287" s="61">
        <v>2.2000000000000002</v>
      </c>
      <c r="AM287" s="61">
        <v>15</v>
      </c>
      <c r="AN287" s="61">
        <v>400</v>
      </c>
      <c r="AO287" s="61">
        <v>9</v>
      </c>
      <c r="AP287" s="63">
        <f t="shared" si="102"/>
        <v>0.1188</v>
      </c>
      <c r="AQ287" s="64"/>
      <c r="AR287" s="67"/>
      <c r="AS287" s="61"/>
      <c r="AU287" s="13">
        <v>7</v>
      </c>
      <c r="AV287" s="13">
        <v>13</v>
      </c>
      <c r="AW287" s="13">
        <v>400</v>
      </c>
      <c r="AX287" s="13">
        <v>1</v>
      </c>
      <c r="AY287" s="14">
        <f t="shared" si="100"/>
        <v>3.6400000000000002E-2</v>
      </c>
      <c r="AZ287" s="13"/>
      <c r="BA287" s="14"/>
      <c r="BB287" s="13"/>
      <c r="BD287" s="13">
        <v>10</v>
      </c>
      <c r="BE287" s="13">
        <v>13</v>
      </c>
      <c r="BF287" s="13">
        <v>400</v>
      </c>
      <c r="BG287" s="13">
        <v>1</v>
      </c>
      <c r="BH287" s="14">
        <f t="shared" si="94"/>
        <v>5.1999999999999998E-2</v>
      </c>
      <c r="BI287" s="13"/>
      <c r="BJ287" s="47"/>
      <c r="BK287" s="41" t="s">
        <v>23</v>
      </c>
      <c r="BM287" s="13">
        <v>10</v>
      </c>
      <c r="BN287" s="13">
        <v>12</v>
      </c>
      <c r="BO287" s="13">
        <v>300</v>
      </c>
      <c r="BP287" s="13">
        <v>1</v>
      </c>
      <c r="BQ287" s="14">
        <f t="shared" si="103"/>
        <v>3.5999999999999997E-2</v>
      </c>
      <c r="BR287" s="37">
        <f>SUM(BP281:BP287)</f>
        <v>10</v>
      </c>
      <c r="BS287" s="36">
        <f>SUM(BQ281:BQ287)</f>
        <v>0.24800000000000003</v>
      </c>
      <c r="BT287" s="41" t="s">
        <v>21</v>
      </c>
      <c r="BV287" s="122">
        <v>3</v>
      </c>
      <c r="BW287" s="122">
        <v>5</v>
      </c>
      <c r="BX287" s="122">
        <v>300</v>
      </c>
      <c r="BY287" s="122">
        <v>30</v>
      </c>
      <c r="BZ287" s="123">
        <f t="shared" si="98"/>
        <v>0.13500000000000001</v>
      </c>
      <c r="CA287" s="122">
        <f>SUM(BY257:BY287)</f>
        <v>1478</v>
      </c>
      <c r="CB287" s="123">
        <f>SUM(BZ257:BZ287)</f>
        <v>11.00024</v>
      </c>
      <c r="CC287" s="126" t="s">
        <v>23</v>
      </c>
      <c r="CE287" s="13">
        <v>10</v>
      </c>
      <c r="CF287" s="13">
        <v>10</v>
      </c>
      <c r="CG287" s="13">
        <v>400</v>
      </c>
      <c r="CH287" s="13">
        <v>4</v>
      </c>
      <c r="CI287" s="14">
        <f t="shared" si="99"/>
        <v>0.16</v>
      </c>
      <c r="CJ287" s="13"/>
      <c r="CK287" s="14"/>
      <c r="CL287" s="13"/>
      <c r="CN287" s="13">
        <v>7</v>
      </c>
      <c r="CO287" s="13">
        <v>28</v>
      </c>
      <c r="CP287" s="13">
        <v>400</v>
      </c>
      <c r="CQ287" s="13">
        <v>2</v>
      </c>
      <c r="CR287" s="14">
        <f t="shared" si="105"/>
        <v>0.15679999999999999</v>
      </c>
      <c r="CS287" s="13"/>
      <c r="CT287" s="14"/>
      <c r="CU287" s="41"/>
      <c r="CW287" s="122">
        <v>2</v>
      </c>
      <c r="CX287" s="122">
        <v>3</v>
      </c>
      <c r="CY287" s="122">
        <v>400</v>
      </c>
      <c r="CZ287" s="122">
        <v>75</v>
      </c>
      <c r="DA287" s="123">
        <f>CW287*CX287*CY287*CZ287/1000000</f>
        <v>0.18</v>
      </c>
      <c r="DB287" s="122">
        <f>SUM(CZ284:CZ287)</f>
        <v>265</v>
      </c>
      <c r="DC287" s="123">
        <f>SUM(DA284:DA287)</f>
        <v>1.8008</v>
      </c>
      <c r="DD287" s="126"/>
      <c r="DF287" s="122">
        <v>2</v>
      </c>
      <c r="DG287" s="122">
        <v>3</v>
      </c>
      <c r="DH287" s="122">
        <v>400</v>
      </c>
      <c r="DI287" s="122">
        <v>450</v>
      </c>
      <c r="DJ287" s="123">
        <f>DF287*DG287*DH287*DI287/1000000</f>
        <v>1.08</v>
      </c>
      <c r="DK287" s="122">
        <f>SUM(DI285:DI287)</f>
        <v>874</v>
      </c>
      <c r="DL287" s="123">
        <f>SUM(DJ285:DJ287)</f>
        <v>3.7103999999999999</v>
      </c>
      <c r="DM287" s="122"/>
    </row>
    <row r="288" spans="11:117" ht="15" customHeight="1" thickTop="1" thickBot="1" x14ac:dyDescent="0.3">
      <c r="T288" s="13">
        <v>4.5</v>
      </c>
      <c r="U288" s="13">
        <v>10</v>
      </c>
      <c r="V288" s="13">
        <v>300</v>
      </c>
      <c r="W288" s="13">
        <v>1</v>
      </c>
      <c r="X288" s="14">
        <f t="shared" si="106"/>
        <v>1.35E-2</v>
      </c>
      <c r="Y288" s="13"/>
      <c r="Z288" s="14"/>
      <c r="AA288" s="13"/>
      <c r="AC288" s="13">
        <v>12</v>
      </c>
      <c r="AD288" s="13">
        <v>15</v>
      </c>
      <c r="AE288" s="13">
        <v>400</v>
      </c>
      <c r="AF288" s="13">
        <v>6</v>
      </c>
      <c r="AG288" s="14">
        <f t="shared" si="101"/>
        <v>0.432</v>
      </c>
      <c r="AH288" s="13"/>
      <c r="AI288" s="14"/>
      <c r="AJ288" s="13"/>
      <c r="AL288" s="61">
        <v>1.7</v>
      </c>
      <c r="AM288" s="61">
        <v>15</v>
      </c>
      <c r="AN288" s="61">
        <v>400</v>
      </c>
      <c r="AO288" s="61">
        <v>6</v>
      </c>
      <c r="AP288" s="63">
        <f t="shared" si="102"/>
        <v>6.1199999999999997E-2</v>
      </c>
      <c r="AQ288" s="64"/>
      <c r="AR288" s="67"/>
      <c r="AS288" s="61"/>
      <c r="AU288" s="13">
        <v>2.2000000000000002</v>
      </c>
      <c r="AV288" s="13">
        <v>13</v>
      </c>
      <c r="AW288" s="13">
        <v>400</v>
      </c>
      <c r="AX288" s="13">
        <v>10</v>
      </c>
      <c r="AY288" s="14">
        <f t="shared" si="100"/>
        <v>0.1144</v>
      </c>
      <c r="AZ288" s="13"/>
      <c r="BA288" s="14"/>
      <c r="BB288" s="13"/>
      <c r="BD288" s="13">
        <v>4.5</v>
      </c>
      <c r="BE288" s="13">
        <v>10</v>
      </c>
      <c r="BF288" s="13">
        <v>300</v>
      </c>
      <c r="BG288" s="13">
        <v>8</v>
      </c>
      <c r="BH288" s="14">
        <f t="shared" ref="BH288:BH294" si="107">BD288*BE288*BF288*BG288/1000000</f>
        <v>0.108</v>
      </c>
      <c r="BI288" s="13"/>
      <c r="BJ288" s="14"/>
      <c r="BK288" s="13"/>
      <c r="BM288" s="13">
        <v>13</v>
      </c>
      <c r="BN288" s="13">
        <v>25</v>
      </c>
      <c r="BO288" s="13">
        <v>400</v>
      </c>
      <c r="BP288" s="13">
        <v>6</v>
      </c>
      <c r="BQ288" s="14">
        <f t="shared" si="103"/>
        <v>0.78</v>
      </c>
      <c r="BR288" s="13"/>
      <c r="BS288" s="14"/>
      <c r="BT288" s="41"/>
      <c r="BV288" s="149"/>
      <c r="BW288" s="149"/>
      <c r="BX288" s="149"/>
      <c r="BY288" s="17">
        <f>SUM(BY257:BY287)</f>
        <v>1478</v>
      </c>
      <c r="BZ288" s="48">
        <f>SUM(BZ257:BZ287)</f>
        <v>11.00024</v>
      </c>
      <c r="CA288" s="17">
        <f>SUM(CA257:CA287)</f>
        <v>1478</v>
      </c>
      <c r="CB288" s="48">
        <f>SUM(CB257:CB287)</f>
        <v>11.00024</v>
      </c>
      <c r="CC288" s="146"/>
      <c r="CE288" s="13">
        <v>4.5</v>
      </c>
      <c r="CF288" s="13">
        <v>10</v>
      </c>
      <c r="CG288" s="13">
        <v>400</v>
      </c>
      <c r="CH288" s="13">
        <v>56</v>
      </c>
      <c r="CI288" s="14">
        <f t="shared" si="99"/>
        <v>1.008</v>
      </c>
      <c r="CJ288" s="13"/>
      <c r="CK288" s="14"/>
      <c r="CL288" s="13"/>
      <c r="CN288" s="13">
        <v>13</v>
      </c>
      <c r="CO288" s="13">
        <v>30</v>
      </c>
      <c r="CP288" s="13">
        <v>400</v>
      </c>
      <c r="CQ288" s="13">
        <v>1</v>
      </c>
      <c r="CR288" s="14">
        <f t="shared" si="105"/>
        <v>0.156</v>
      </c>
      <c r="CS288" s="13"/>
      <c r="CT288" s="14"/>
      <c r="CU288" s="41"/>
      <c r="CW288" s="115"/>
      <c r="CX288" s="115"/>
      <c r="CY288" s="115"/>
      <c r="CZ288" s="17">
        <f>SUM(CZ251:CZ287)</f>
        <v>674</v>
      </c>
      <c r="DA288" s="223">
        <f t="shared" ref="DA288:DC288" si="108">SUM(DA251:DA287)</f>
        <v>13.305480000000005</v>
      </c>
      <c r="DB288" s="17">
        <f t="shared" si="108"/>
        <v>674</v>
      </c>
      <c r="DC288" s="32">
        <f t="shared" si="108"/>
        <v>13.305480000000005</v>
      </c>
      <c r="DD288" s="146"/>
      <c r="DF288" s="115"/>
      <c r="DG288" s="115"/>
      <c r="DH288" s="115"/>
      <c r="DI288" s="17">
        <f>SUM(DI256:DI287)</f>
        <v>1067</v>
      </c>
      <c r="DJ288" s="32">
        <f>SUM(DJ256:DJ287)</f>
        <v>12.876039999999998</v>
      </c>
      <c r="DK288" s="17">
        <f>SUM(DK256:DK287)</f>
        <v>1067</v>
      </c>
      <c r="DL288" s="32">
        <f>SUM(DL256:DL287)</f>
        <v>12.876039999999998</v>
      </c>
      <c r="DM288" s="146" t="s">
        <v>23</v>
      </c>
    </row>
    <row r="289" spans="20:116" ht="15" customHeight="1" thickTop="1" x14ac:dyDescent="0.25">
      <c r="T289" s="13">
        <v>4.5</v>
      </c>
      <c r="U289" s="13">
        <v>10</v>
      </c>
      <c r="V289" s="13">
        <v>250</v>
      </c>
      <c r="W289" s="13">
        <v>6</v>
      </c>
      <c r="X289" s="14">
        <f t="shared" si="106"/>
        <v>6.7500000000000004E-2</v>
      </c>
      <c r="Y289" s="13"/>
      <c r="Z289" s="14"/>
      <c r="AA289" s="13"/>
      <c r="AC289" s="13">
        <v>12</v>
      </c>
      <c r="AD289" s="13">
        <v>15</v>
      </c>
      <c r="AE289" s="13">
        <v>300</v>
      </c>
      <c r="AF289" s="13">
        <v>5</v>
      </c>
      <c r="AG289" s="14">
        <f t="shared" si="101"/>
        <v>0.27</v>
      </c>
      <c r="AH289" s="13">
        <f>SUM(AF288:AF289)</f>
        <v>11</v>
      </c>
      <c r="AI289" s="14">
        <f>SUM(AG288:AG289)</f>
        <v>0.70199999999999996</v>
      </c>
      <c r="AJ289" s="13"/>
      <c r="AL289" s="61">
        <v>7</v>
      </c>
      <c r="AM289" s="61">
        <v>13</v>
      </c>
      <c r="AN289" s="61">
        <v>400</v>
      </c>
      <c r="AO289" s="61">
        <v>4</v>
      </c>
      <c r="AP289" s="63">
        <f t="shared" si="102"/>
        <v>0.14560000000000001</v>
      </c>
      <c r="AQ289" s="64"/>
      <c r="AR289" s="67"/>
      <c r="AS289" s="61"/>
      <c r="AU289" s="13">
        <v>10</v>
      </c>
      <c r="AV289" s="13">
        <v>10</v>
      </c>
      <c r="AW289" s="13">
        <v>400</v>
      </c>
      <c r="AX289" s="13">
        <v>4</v>
      </c>
      <c r="AY289" s="14">
        <f t="shared" si="100"/>
        <v>0.16</v>
      </c>
      <c r="AZ289" s="13"/>
      <c r="BA289" s="14"/>
      <c r="BB289" s="13"/>
      <c r="BD289" s="13">
        <v>2.2000000000000002</v>
      </c>
      <c r="BE289" s="13">
        <v>10</v>
      </c>
      <c r="BF289" s="13">
        <v>300</v>
      </c>
      <c r="BG289" s="13">
        <v>6</v>
      </c>
      <c r="BH289" s="14">
        <f t="shared" si="107"/>
        <v>3.9600000000000003E-2</v>
      </c>
      <c r="BI289" s="13"/>
      <c r="BJ289" s="14"/>
      <c r="BK289" s="13"/>
      <c r="BM289" s="13">
        <v>10</v>
      </c>
      <c r="BN289" s="13">
        <v>10</v>
      </c>
      <c r="BO289" s="13">
        <v>400</v>
      </c>
      <c r="BP289" s="13">
        <v>9</v>
      </c>
      <c r="BQ289" s="14">
        <f t="shared" si="103"/>
        <v>0.36</v>
      </c>
      <c r="BR289" s="13"/>
      <c r="BS289" s="14"/>
      <c r="BT289" s="13"/>
      <c r="CE289" s="13">
        <v>3.5</v>
      </c>
      <c r="CF289" s="13">
        <v>10</v>
      </c>
      <c r="CG289" s="13">
        <v>400</v>
      </c>
      <c r="CH289" s="13">
        <v>10</v>
      </c>
      <c r="CI289" s="14">
        <f t="shared" si="99"/>
        <v>0.14000000000000001</v>
      </c>
      <c r="CJ289" s="13"/>
      <c r="CK289" s="14"/>
      <c r="CL289" s="41"/>
      <c r="CN289" s="13">
        <v>15</v>
      </c>
      <c r="CO289" s="13">
        <v>28</v>
      </c>
      <c r="CP289" s="13">
        <v>400</v>
      </c>
      <c r="CQ289" s="13">
        <v>1</v>
      </c>
      <c r="CR289" s="14">
        <f t="shared" si="105"/>
        <v>0.16800000000000001</v>
      </c>
      <c r="CS289" s="13"/>
      <c r="CT289" s="14"/>
      <c r="CU289" s="41"/>
    </row>
    <row r="290" spans="20:116" ht="15" customHeight="1" x14ac:dyDescent="0.25">
      <c r="T290" s="13">
        <v>4.5</v>
      </c>
      <c r="U290" s="13">
        <v>10</v>
      </c>
      <c r="V290" s="13">
        <v>200</v>
      </c>
      <c r="W290" s="13">
        <v>3</v>
      </c>
      <c r="X290" s="14">
        <f t="shared" si="106"/>
        <v>2.7E-2</v>
      </c>
      <c r="Y290" s="13"/>
      <c r="Z290" s="14"/>
      <c r="AA290" s="13"/>
      <c r="AC290" s="13">
        <v>10</v>
      </c>
      <c r="AD290" s="13">
        <v>15</v>
      </c>
      <c r="AE290" s="13">
        <v>400</v>
      </c>
      <c r="AF290" s="13">
        <v>14</v>
      </c>
      <c r="AG290" s="14">
        <f t="shared" si="101"/>
        <v>0.84</v>
      </c>
      <c r="AH290" s="13"/>
      <c r="AI290" s="14"/>
      <c r="AJ290" s="13"/>
      <c r="AL290" s="61">
        <v>4.5</v>
      </c>
      <c r="AM290" s="61">
        <v>13</v>
      </c>
      <c r="AN290" s="61">
        <v>400</v>
      </c>
      <c r="AO290" s="61">
        <v>5</v>
      </c>
      <c r="AP290" s="63">
        <f t="shared" si="102"/>
        <v>0.11700000000000001</v>
      </c>
      <c r="AQ290" s="64"/>
      <c r="AR290" s="67"/>
      <c r="AS290" s="61"/>
      <c r="AU290" s="13">
        <v>7</v>
      </c>
      <c r="AV290" s="13">
        <v>10</v>
      </c>
      <c r="AW290" s="13">
        <v>400</v>
      </c>
      <c r="AX290" s="13">
        <v>5</v>
      </c>
      <c r="AY290" s="14">
        <f t="shared" si="100"/>
        <v>0.14000000000000001</v>
      </c>
      <c r="AZ290" s="13"/>
      <c r="BA290" s="14"/>
      <c r="BB290" s="13"/>
      <c r="BD290" s="13">
        <v>4.2</v>
      </c>
      <c r="BE290" s="13">
        <v>7</v>
      </c>
      <c r="BF290" s="13">
        <v>300</v>
      </c>
      <c r="BG290" s="13">
        <v>25</v>
      </c>
      <c r="BH290" s="14">
        <f t="shared" si="107"/>
        <v>0.2205</v>
      </c>
      <c r="BI290" s="13"/>
      <c r="BJ290" s="14"/>
      <c r="BK290" s="13"/>
      <c r="BM290" s="13">
        <v>4.5</v>
      </c>
      <c r="BN290" s="13">
        <v>10</v>
      </c>
      <c r="BO290" s="13">
        <v>400</v>
      </c>
      <c r="BP290" s="13">
        <v>57</v>
      </c>
      <c r="BQ290" s="14">
        <f t="shared" si="103"/>
        <v>1.026</v>
      </c>
      <c r="BR290" s="13"/>
      <c r="BS290" s="14"/>
      <c r="BT290" s="13"/>
      <c r="BV290" s="231" t="s">
        <v>19</v>
      </c>
      <c r="BW290" s="231"/>
      <c r="BX290" s="231"/>
      <c r="BY290" s="231"/>
      <c r="BZ290" s="231"/>
      <c r="CA290" s="231"/>
      <c r="CB290" s="231"/>
      <c r="CC290" s="231"/>
      <c r="CE290" s="13">
        <v>2.2000000000000002</v>
      </c>
      <c r="CF290" s="13">
        <v>10</v>
      </c>
      <c r="CG290" s="13">
        <v>400</v>
      </c>
      <c r="CH290" s="13">
        <v>16</v>
      </c>
      <c r="CI290" s="14">
        <f t="shared" si="99"/>
        <v>0.14080000000000001</v>
      </c>
      <c r="CJ290" s="13"/>
      <c r="CK290" s="14"/>
      <c r="CL290" s="41"/>
      <c r="CN290" s="13">
        <v>10</v>
      </c>
      <c r="CO290" s="13">
        <v>28</v>
      </c>
      <c r="CP290" s="13">
        <v>400</v>
      </c>
      <c r="CQ290" s="13">
        <v>1</v>
      </c>
      <c r="CR290" s="14">
        <f t="shared" si="105"/>
        <v>0.112</v>
      </c>
      <c r="CS290" s="13"/>
      <c r="CT290" s="14"/>
      <c r="CU290" s="41"/>
      <c r="CW290" s="8" t="s">
        <v>187</v>
      </c>
      <c r="DF290" s="8" t="s">
        <v>189</v>
      </c>
    </row>
    <row r="291" spans="20:116" ht="15" customHeight="1" x14ac:dyDescent="0.25">
      <c r="T291" s="122">
        <v>4.2</v>
      </c>
      <c r="U291" s="122">
        <v>7</v>
      </c>
      <c r="V291" s="122">
        <v>250</v>
      </c>
      <c r="W291" s="122">
        <v>2</v>
      </c>
      <c r="X291" s="123">
        <f t="shared" si="106"/>
        <v>1.4700000000000001E-2</v>
      </c>
      <c r="Y291" s="122">
        <f>SUM(W282:W291)</f>
        <v>129</v>
      </c>
      <c r="Z291" s="123">
        <f>SUM(X282:X291)</f>
        <v>2.4500999999999999</v>
      </c>
      <c r="AA291" s="122"/>
      <c r="AC291" s="13">
        <v>10</v>
      </c>
      <c r="AD291" s="13">
        <v>15</v>
      </c>
      <c r="AE291" s="13">
        <v>300</v>
      </c>
      <c r="AF291" s="13">
        <v>4</v>
      </c>
      <c r="AG291" s="14">
        <f t="shared" si="101"/>
        <v>0.18</v>
      </c>
      <c r="AH291" s="13"/>
      <c r="AI291" s="14"/>
      <c r="AJ291" s="13"/>
      <c r="AL291" s="61">
        <v>3.5</v>
      </c>
      <c r="AM291" s="61">
        <v>13</v>
      </c>
      <c r="AN291" s="61">
        <v>400</v>
      </c>
      <c r="AO291" s="61">
        <v>5</v>
      </c>
      <c r="AP291" s="63">
        <f t="shared" si="102"/>
        <v>9.0999999999999998E-2</v>
      </c>
      <c r="AQ291" s="64"/>
      <c r="AR291" s="67"/>
      <c r="AS291" s="61"/>
      <c r="AU291" s="13">
        <v>10</v>
      </c>
      <c r="AV291" s="13">
        <v>20</v>
      </c>
      <c r="AW291" s="13">
        <v>400</v>
      </c>
      <c r="AX291" s="13">
        <v>17</v>
      </c>
      <c r="AY291" s="14">
        <f t="shared" si="100"/>
        <v>1.36</v>
      </c>
      <c r="AZ291" s="13"/>
      <c r="BA291" s="14"/>
      <c r="BB291" s="13"/>
      <c r="BD291" s="13">
        <v>3.2</v>
      </c>
      <c r="BE291" s="13">
        <v>7</v>
      </c>
      <c r="BF291" s="13">
        <v>300</v>
      </c>
      <c r="BG291" s="13">
        <v>1</v>
      </c>
      <c r="BH291" s="14">
        <f t="shared" si="107"/>
        <v>6.7200000000000011E-3</v>
      </c>
      <c r="BI291" s="13"/>
      <c r="BJ291" s="14"/>
      <c r="BK291" s="13"/>
      <c r="BM291" s="13">
        <v>3.5</v>
      </c>
      <c r="BN291" s="13">
        <v>10</v>
      </c>
      <c r="BO291" s="13">
        <v>400</v>
      </c>
      <c r="BP291" s="13">
        <v>5</v>
      </c>
      <c r="BQ291" s="14">
        <f t="shared" si="103"/>
        <v>7.0000000000000007E-2</v>
      </c>
      <c r="BR291" s="13"/>
      <c r="BS291" s="14"/>
      <c r="BT291" s="13"/>
      <c r="BV291" s="231"/>
      <c r="BW291" s="231"/>
      <c r="BX291" s="231"/>
      <c r="BY291" s="231"/>
      <c r="BZ291" s="231"/>
      <c r="CA291" s="231"/>
      <c r="CB291" s="231"/>
      <c r="CC291" s="231"/>
      <c r="CE291" s="13">
        <v>7</v>
      </c>
      <c r="CF291" s="13">
        <v>10</v>
      </c>
      <c r="CG291" s="13">
        <v>400</v>
      </c>
      <c r="CH291" s="13">
        <v>1</v>
      </c>
      <c r="CI291" s="14">
        <f t="shared" si="99"/>
        <v>2.8000000000000001E-2</v>
      </c>
      <c r="CJ291" s="13"/>
      <c r="CK291" s="14"/>
      <c r="CL291" s="41"/>
      <c r="CN291" s="13">
        <v>7</v>
      </c>
      <c r="CO291" s="13">
        <v>33</v>
      </c>
      <c r="CP291" s="13">
        <v>400</v>
      </c>
      <c r="CQ291" s="13">
        <v>1</v>
      </c>
      <c r="CR291" s="14">
        <f t="shared" si="105"/>
        <v>9.2399999999999996E-2</v>
      </c>
      <c r="CS291" s="13"/>
      <c r="CT291" s="14"/>
      <c r="CU291" s="41"/>
      <c r="CW291" s="4" t="s">
        <v>24</v>
      </c>
      <c r="CX291" s="4" t="s">
        <v>0</v>
      </c>
      <c r="CY291" s="6">
        <f>SUM(CZ197)</f>
        <v>784</v>
      </c>
      <c r="CZ291" s="5">
        <f>SUM(DA197)</f>
        <v>12.041720000000002</v>
      </c>
      <c r="DA291" s="7" t="s">
        <v>23</v>
      </c>
      <c r="DB291" s="6">
        <f>SUM(CZ288+CZ242+CZ197)</f>
        <v>2329</v>
      </c>
      <c r="DC291" s="7">
        <f>SUM(DA288+DA242+DA197)</f>
        <v>38.011520000000004</v>
      </c>
      <c r="DF291" s="4" t="s">
        <v>24</v>
      </c>
      <c r="DG291" s="4"/>
      <c r="DH291" s="6">
        <f>SUM(DI213)</f>
        <v>437</v>
      </c>
      <c r="DI291" s="5">
        <f>SUM(DJ213)</f>
        <v>14.115960000000001</v>
      </c>
      <c r="DJ291" s="7" t="s">
        <v>23</v>
      </c>
      <c r="DK291" s="6">
        <f>SUM(DH294)</f>
        <v>1967</v>
      </c>
      <c r="DL291" s="4">
        <f>SUM(DI294)</f>
        <v>39.161200000000001</v>
      </c>
    </row>
    <row r="292" spans="20:116" ht="15" customHeight="1" x14ac:dyDescent="0.25">
      <c r="T292" s="13">
        <v>3.5</v>
      </c>
      <c r="U292" s="13">
        <v>20</v>
      </c>
      <c r="V292" s="13">
        <v>400</v>
      </c>
      <c r="W292" s="13">
        <v>9</v>
      </c>
      <c r="X292" s="14">
        <f t="shared" si="106"/>
        <v>0.252</v>
      </c>
      <c r="Y292" s="13"/>
      <c r="Z292" s="14"/>
      <c r="AA292" s="13"/>
      <c r="AC292" s="13">
        <v>10</v>
      </c>
      <c r="AD292" s="13">
        <v>10</v>
      </c>
      <c r="AE292" s="13">
        <v>400</v>
      </c>
      <c r="AF292" s="13">
        <v>9</v>
      </c>
      <c r="AG292" s="14">
        <f t="shared" si="101"/>
        <v>0.36</v>
      </c>
      <c r="AH292" s="13">
        <f>SUM(AF290:AF292)</f>
        <v>27</v>
      </c>
      <c r="AI292" s="14">
        <f>SUM(AG290:AG292)</f>
        <v>1.38</v>
      </c>
      <c r="AJ292" s="13"/>
      <c r="AL292" s="61">
        <v>2.2000000000000002</v>
      </c>
      <c r="AM292" s="61">
        <v>13</v>
      </c>
      <c r="AN292" s="61">
        <v>400</v>
      </c>
      <c r="AO292" s="61">
        <v>7</v>
      </c>
      <c r="AP292" s="63">
        <f t="shared" si="102"/>
        <v>8.0079999999999998E-2</v>
      </c>
      <c r="AQ292" s="64"/>
      <c r="AR292" s="67"/>
      <c r="AS292" s="61"/>
      <c r="AU292" s="13">
        <v>10</v>
      </c>
      <c r="AV292" s="13">
        <v>23</v>
      </c>
      <c r="AW292" s="13">
        <v>400</v>
      </c>
      <c r="AX292" s="13">
        <v>2</v>
      </c>
      <c r="AY292" s="14">
        <f t="shared" si="100"/>
        <v>0.184</v>
      </c>
      <c r="AZ292" s="13"/>
      <c r="BA292" s="14"/>
      <c r="BB292" s="13"/>
      <c r="BD292" s="122">
        <v>3</v>
      </c>
      <c r="BE292" s="122">
        <v>5</v>
      </c>
      <c r="BF292" s="122">
        <v>300</v>
      </c>
      <c r="BG292" s="122">
        <v>10</v>
      </c>
      <c r="BH292" s="123">
        <f t="shared" si="107"/>
        <v>4.4999999999999998E-2</v>
      </c>
      <c r="BI292" s="122"/>
      <c r="BJ292" s="123"/>
      <c r="BK292" s="122"/>
      <c r="BM292" s="13">
        <v>2.2000000000000002</v>
      </c>
      <c r="BN292" s="13">
        <v>10</v>
      </c>
      <c r="BO292" s="13">
        <v>400</v>
      </c>
      <c r="BP292" s="13">
        <v>33</v>
      </c>
      <c r="BQ292" s="14">
        <f t="shared" si="103"/>
        <v>0.29039999999999999</v>
      </c>
      <c r="BR292" s="13"/>
      <c r="BS292" s="14"/>
      <c r="BT292" s="41"/>
      <c r="BV292" s="28" t="s">
        <v>18</v>
      </c>
      <c r="BW292" s="27" t="s">
        <v>113</v>
      </c>
      <c r="BX292" s="26"/>
      <c r="BY292" s="26"/>
      <c r="BZ292" s="26"/>
      <c r="CA292" s="26"/>
      <c r="CB292" s="26"/>
      <c r="CC292" s="26"/>
      <c r="CE292" s="13">
        <v>8</v>
      </c>
      <c r="CF292" s="13">
        <v>10</v>
      </c>
      <c r="CG292" s="13">
        <v>400</v>
      </c>
      <c r="CH292" s="13">
        <v>2</v>
      </c>
      <c r="CI292" s="14">
        <f t="shared" si="99"/>
        <v>6.4000000000000001E-2</v>
      </c>
      <c r="CJ292" s="13"/>
      <c r="CK292" s="14"/>
      <c r="CL292" s="41"/>
      <c r="CN292" s="13">
        <v>15</v>
      </c>
      <c r="CO292" s="13">
        <v>30</v>
      </c>
      <c r="CP292" s="13">
        <v>400</v>
      </c>
      <c r="CQ292" s="13">
        <v>1</v>
      </c>
      <c r="CR292" s="14">
        <f t="shared" si="105"/>
        <v>0.18</v>
      </c>
      <c r="CS292" s="13"/>
      <c r="CT292" s="14"/>
      <c r="CU292" s="41"/>
      <c r="CW292" s="4" t="s">
        <v>22</v>
      </c>
      <c r="CX292" s="4" t="s">
        <v>0</v>
      </c>
      <c r="CY292" s="6">
        <f>SUM(CZ242)</f>
        <v>871</v>
      </c>
      <c r="CZ292" s="5">
        <f>SUM(DA242)</f>
        <v>12.66432</v>
      </c>
      <c r="DA292" s="7" t="s">
        <v>21</v>
      </c>
      <c r="DB292" s="6">
        <v>0</v>
      </c>
      <c r="DC292" s="5">
        <v>0</v>
      </c>
      <c r="DF292" s="4" t="s">
        <v>22</v>
      </c>
      <c r="DG292" s="4"/>
      <c r="DH292" s="6">
        <f>SUM(DI247)</f>
        <v>463</v>
      </c>
      <c r="DI292" s="5">
        <f>SUM(DJ247)</f>
        <v>12.169200000000004</v>
      </c>
      <c r="DJ292" s="7" t="s">
        <v>21</v>
      </c>
    </row>
    <row r="293" spans="20:116" ht="15" customHeight="1" thickBot="1" x14ac:dyDescent="0.3">
      <c r="T293" s="13">
        <v>3.5</v>
      </c>
      <c r="U293" s="13">
        <v>15</v>
      </c>
      <c r="V293" s="13">
        <v>400</v>
      </c>
      <c r="W293" s="13">
        <v>1</v>
      </c>
      <c r="X293" s="14">
        <f t="shared" si="106"/>
        <v>2.1000000000000001E-2</v>
      </c>
      <c r="Y293" s="13"/>
      <c r="Z293" s="14"/>
      <c r="AA293" s="13"/>
      <c r="AC293" s="13">
        <v>9</v>
      </c>
      <c r="AD293" s="13">
        <v>15</v>
      </c>
      <c r="AE293" s="13">
        <v>400</v>
      </c>
      <c r="AF293" s="13">
        <v>1</v>
      </c>
      <c r="AG293" s="14">
        <f t="shared" si="101"/>
        <v>5.3999999999999999E-2</v>
      </c>
      <c r="AH293" s="13">
        <f>SUM(AF293)</f>
        <v>1</v>
      </c>
      <c r="AI293" s="14">
        <f>SUM(AG293)</f>
        <v>5.3999999999999999E-2</v>
      </c>
      <c r="AJ293" s="13"/>
      <c r="AL293" s="61">
        <v>1.7</v>
      </c>
      <c r="AM293" s="61">
        <v>13</v>
      </c>
      <c r="AN293" s="61">
        <v>400</v>
      </c>
      <c r="AO293" s="61">
        <v>6</v>
      </c>
      <c r="AP293" s="63">
        <f t="shared" si="102"/>
        <v>5.3039999999999997E-2</v>
      </c>
      <c r="AQ293" s="64"/>
      <c r="AR293" s="67"/>
      <c r="AS293" s="61"/>
      <c r="AU293" s="13">
        <v>8</v>
      </c>
      <c r="AV293" s="13">
        <v>20</v>
      </c>
      <c r="AW293" s="13">
        <v>400</v>
      </c>
      <c r="AX293" s="13">
        <v>2</v>
      </c>
      <c r="AY293" s="14">
        <f t="shared" si="100"/>
        <v>0.128</v>
      </c>
      <c r="AZ293" s="13"/>
      <c r="BA293" s="14"/>
      <c r="BB293" s="13"/>
      <c r="BD293" s="13">
        <v>2.2000000000000002</v>
      </c>
      <c r="BE293" s="13">
        <v>10</v>
      </c>
      <c r="BF293" s="13">
        <v>250</v>
      </c>
      <c r="BG293" s="13">
        <v>3</v>
      </c>
      <c r="BH293" s="14">
        <f t="shared" si="107"/>
        <v>1.6500000000000001E-2</v>
      </c>
      <c r="BI293" s="13"/>
      <c r="BJ293" s="14"/>
      <c r="BK293" s="13"/>
      <c r="BM293" s="13">
        <v>4.5</v>
      </c>
      <c r="BN293" s="13">
        <v>13</v>
      </c>
      <c r="BO293" s="13">
        <v>400</v>
      </c>
      <c r="BP293" s="13">
        <v>6</v>
      </c>
      <c r="BQ293" s="14">
        <f>BM293*BN293*BO293*BP293/1000000</f>
        <v>0.1404</v>
      </c>
      <c r="BR293" s="13"/>
      <c r="BS293" s="14"/>
      <c r="BT293" s="13"/>
      <c r="BV293" s="28" t="s">
        <v>16</v>
      </c>
      <c r="BW293" s="27" t="s">
        <v>114</v>
      </c>
      <c r="BX293" s="26"/>
      <c r="BY293" s="26"/>
      <c r="BZ293" s="26"/>
      <c r="CA293" s="26"/>
      <c r="CB293" s="26"/>
      <c r="CC293" s="26"/>
      <c r="CE293" s="13">
        <v>15</v>
      </c>
      <c r="CF293" s="13">
        <v>15</v>
      </c>
      <c r="CG293" s="13">
        <v>400</v>
      </c>
      <c r="CH293" s="13">
        <v>1</v>
      </c>
      <c r="CI293" s="14">
        <f t="shared" si="99"/>
        <v>0.09</v>
      </c>
      <c r="CJ293" s="13"/>
      <c r="CK293" s="14"/>
      <c r="CL293" s="41"/>
      <c r="CN293" s="13">
        <v>7</v>
      </c>
      <c r="CO293" s="13">
        <v>30</v>
      </c>
      <c r="CP293" s="13">
        <v>400</v>
      </c>
      <c r="CQ293" s="13">
        <v>2</v>
      </c>
      <c r="CR293" s="14">
        <f t="shared" si="105"/>
        <v>0.16800000000000001</v>
      </c>
      <c r="CS293" s="13"/>
      <c r="CT293" s="14"/>
      <c r="CU293" s="41"/>
      <c r="CW293" s="4" t="s">
        <v>20</v>
      </c>
      <c r="CX293" s="4" t="s">
        <v>0</v>
      </c>
      <c r="CY293" s="6">
        <f>SUM(CZ288)</f>
        <v>674</v>
      </c>
      <c r="CZ293" s="5">
        <f>SUM(DA288)</f>
        <v>13.305480000000005</v>
      </c>
      <c r="DA293" s="4"/>
      <c r="DB293" s="3">
        <f>SUM(DB291:DB292)</f>
        <v>2329</v>
      </c>
      <c r="DC293" s="53">
        <f>SUM(DC291:DC292)</f>
        <v>38.011520000000004</v>
      </c>
      <c r="DF293" s="4" t="s">
        <v>20</v>
      </c>
      <c r="DG293" s="4"/>
      <c r="DH293" s="6">
        <f>SUM(DI288)</f>
        <v>1067</v>
      </c>
      <c r="DI293" s="5">
        <f>SUM(DJ288)</f>
        <v>12.876039999999998</v>
      </c>
      <c r="DJ293" s="4"/>
      <c r="DK293" s="3">
        <f>SUM(DK295:DK296)</f>
        <v>1967</v>
      </c>
      <c r="DL293" s="53">
        <f>SUM(DL295:DL296)</f>
        <v>39.161200000000001</v>
      </c>
    </row>
    <row r="294" spans="20:116" ht="15" customHeight="1" thickTop="1" thickBot="1" x14ac:dyDescent="0.3">
      <c r="T294" s="13">
        <v>3.5</v>
      </c>
      <c r="U294" s="13">
        <v>10</v>
      </c>
      <c r="V294" s="13">
        <v>400</v>
      </c>
      <c r="W294" s="13">
        <v>23</v>
      </c>
      <c r="X294" s="14">
        <f t="shared" si="106"/>
        <v>0.32200000000000001</v>
      </c>
      <c r="Y294" s="13"/>
      <c r="Z294" s="14"/>
      <c r="AA294" s="13"/>
      <c r="AC294" s="13">
        <v>8</v>
      </c>
      <c r="AD294" s="13">
        <v>15</v>
      </c>
      <c r="AE294" s="13">
        <v>400</v>
      </c>
      <c r="AF294" s="13">
        <v>3</v>
      </c>
      <c r="AG294" s="14">
        <f t="shared" si="101"/>
        <v>0.14399999999999999</v>
      </c>
      <c r="AH294" s="13"/>
      <c r="AI294" s="14"/>
      <c r="AJ294" s="13"/>
      <c r="AL294" s="61">
        <v>10</v>
      </c>
      <c r="AM294" s="61">
        <v>10</v>
      </c>
      <c r="AN294" s="61">
        <v>400</v>
      </c>
      <c r="AO294" s="61">
        <v>1</v>
      </c>
      <c r="AP294" s="63">
        <f t="shared" si="102"/>
        <v>0.04</v>
      </c>
      <c r="AQ294" s="37"/>
      <c r="AR294" s="36"/>
      <c r="AS294" s="13"/>
      <c r="AU294" s="13">
        <v>7</v>
      </c>
      <c r="AV294" s="13">
        <v>20</v>
      </c>
      <c r="AW294" s="13">
        <v>400</v>
      </c>
      <c r="AX294" s="13">
        <v>6</v>
      </c>
      <c r="AY294" s="14">
        <f t="shared" si="100"/>
        <v>0.33600000000000002</v>
      </c>
      <c r="AZ294" s="13"/>
      <c r="BA294" s="14"/>
      <c r="BB294" s="13"/>
      <c r="BD294" s="13">
        <v>4.5</v>
      </c>
      <c r="BE294" s="13">
        <v>10</v>
      </c>
      <c r="BF294" s="13">
        <v>250</v>
      </c>
      <c r="BG294" s="13">
        <v>7</v>
      </c>
      <c r="BH294" s="14">
        <f t="shared" si="107"/>
        <v>7.8750000000000001E-2</v>
      </c>
      <c r="BI294" s="13"/>
      <c r="BJ294" s="14"/>
      <c r="BK294" s="13"/>
      <c r="BM294" s="13">
        <v>3.5</v>
      </c>
      <c r="BN294" s="13">
        <v>13</v>
      </c>
      <c r="BO294" s="13">
        <v>400</v>
      </c>
      <c r="BP294" s="13">
        <v>3</v>
      </c>
      <c r="BQ294" s="14">
        <f>BM294*BN294*BO294*BP294/1000000</f>
        <v>5.4600000000000003E-2</v>
      </c>
      <c r="BR294" s="13"/>
      <c r="BS294" s="14"/>
      <c r="BT294" s="13"/>
      <c r="BV294" s="43"/>
      <c r="BW294" s="25"/>
      <c r="BX294" s="25"/>
      <c r="BY294" s="25"/>
      <c r="BZ294" s="25"/>
      <c r="CA294" s="225" t="s">
        <v>133</v>
      </c>
      <c r="CB294" s="225"/>
      <c r="CC294" s="225"/>
      <c r="CE294" s="13">
        <v>7</v>
      </c>
      <c r="CF294" s="13">
        <v>20</v>
      </c>
      <c r="CG294" s="13">
        <v>400</v>
      </c>
      <c r="CH294" s="13">
        <v>1</v>
      </c>
      <c r="CI294" s="14">
        <f t="shared" si="99"/>
        <v>5.6000000000000001E-2</v>
      </c>
      <c r="CJ294" s="13"/>
      <c r="CK294" s="14"/>
      <c r="CL294" s="41"/>
      <c r="CN294" s="13">
        <v>8</v>
      </c>
      <c r="CO294" s="13">
        <v>25</v>
      </c>
      <c r="CP294" s="13">
        <v>400</v>
      </c>
      <c r="CQ294" s="13">
        <v>2</v>
      </c>
      <c r="CR294" s="14">
        <f t="shared" si="105"/>
        <v>0.16</v>
      </c>
      <c r="CS294" s="13"/>
      <c r="CT294" s="14"/>
      <c r="CU294" s="41"/>
      <c r="CW294" s="4"/>
      <c r="CX294" s="4"/>
      <c r="CY294" s="30">
        <f>SUM(CY291:CY293)</f>
        <v>2329</v>
      </c>
      <c r="CZ294" s="29">
        <f>SUM(CZ291:CZ293)</f>
        <v>38.011520000000004</v>
      </c>
      <c r="DF294" s="4"/>
      <c r="DG294" s="4"/>
      <c r="DH294" s="30">
        <f>SUM(DH291:DH293)</f>
        <v>1967</v>
      </c>
      <c r="DI294" s="29">
        <f>SUM(DI291:DI293)</f>
        <v>39.161200000000001</v>
      </c>
    </row>
    <row r="295" spans="20:116" ht="15" customHeight="1" thickTop="1" x14ac:dyDescent="0.25">
      <c r="T295" s="13">
        <v>3.5</v>
      </c>
      <c r="U295" s="13">
        <v>10</v>
      </c>
      <c r="V295" s="13">
        <v>250</v>
      </c>
      <c r="W295" s="13">
        <v>2</v>
      </c>
      <c r="X295" s="14">
        <f t="shared" si="106"/>
        <v>1.7500000000000002E-2</v>
      </c>
      <c r="Y295" s="13"/>
      <c r="Z295" s="14"/>
      <c r="AA295" s="13"/>
      <c r="AC295" s="13">
        <v>8</v>
      </c>
      <c r="AD295" s="13">
        <v>15</v>
      </c>
      <c r="AE295" s="13">
        <v>300</v>
      </c>
      <c r="AF295" s="13">
        <v>1</v>
      </c>
      <c r="AG295" s="14">
        <f t="shared" si="101"/>
        <v>3.5999999999999997E-2</v>
      </c>
      <c r="AH295" s="13"/>
      <c r="AI295" s="14"/>
      <c r="AJ295" s="13"/>
      <c r="AL295" s="61">
        <v>4.5</v>
      </c>
      <c r="AM295" s="61">
        <v>10</v>
      </c>
      <c r="AN295" s="61">
        <v>400</v>
      </c>
      <c r="AO295" s="61">
        <v>24</v>
      </c>
      <c r="AP295" s="63">
        <f>AL295*AM295*AN295*AO295/1000000</f>
        <v>0.432</v>
      </c>
      <c r="AQ295" s="37"/>
      <c r="AR295" s="36"/>
      <c r="AS295" s="13"/>
      <c r="AU295" s="13">
        <v>2.2000000000000002</v>
      </c>
      <c r="AV295" s="13">
        <v>20</v>
      </c>
      <c r="AW295" s="13">
        <v>400</v>
      </c>
      <c r="AX295" s="13">
        <v>2</v>
      </c>
      <c r="AY295" s="14">
        <f t="shared" si="100"/>
        <v>3.5200000000000002E-2</v>
      </c>
      <c r="AZ295" s="13"/>
      <c r="BA295" s="14"/>
      <c r="BB295" s="13"/>
      <c r="BD295" s="13">
        <v>12</v>
      </c>
      <c r="BE295" s="13">
        <v>20</v>
      </c>
      <c r="BF295" s="13">
        <v>400</v>
      </c>
      <c r="BG295" s="13">
        <v>3</v>
      </c>
      <c r="BH295" s="14">
        <f t="shared" si="94"/>
        <v>0.28799999999999998</v>
      </c>
      <c r="BI295" s="13"/>
      <c r="BJ295" s="14"/>
      <c r="BK295" s="13"/>
      <c r="BM295" s="13">
        <v>2.2000000000000002</v>
      </c>
      <c r="BN295" s="13">
        <v>15</v>
      </c>
      <c r="BO295" s="13">
        <v>400</v>
      </c>
      <c r="BP295" s="13">
        <v>3</v>
      </c>
      <c r="BQ295" s="14">
        <f>BM295*BN295*BO295*BP295/1000000</f>
        <v>3.9600000000000003E-2</v>
      </c>
      <c r="BR295" s="13"/>
      <c r="BS295" s="14"/>
      <c r="BT295" s="13"/>
      <c r="BV295" s="226" t="s">
        <v>13</v>
      </c>
      <c r="BW295" s="227"/>
      <c r="BX295" s="228"/>
      <c r="BY295" s="227" t="s">
        <v>12</v>
      </c>
      <c r="BZ295" s="228"/>
      <c r="CA295" s="227" t="s">
        <v>12</v>
      </c>
      <c r="CB295" s="228"/>
      <c r="CC295" s="229" t="s">
        <v>11</v>
      </c>
      <c r="CE295" s="122">
        <v>5</v>
      </c>
      <c r="CF295" s="122">
        <v>7</v>
      </c>
      <c r="CG295" s="122">
        <v>400</v>
      </c>
      <c r="CH295" s="122">
        <v>92</v>
      </c>
      <c r="CI295" s="123">
        <f t="shared" si="99"/>
        <v>1.288</v>
      </c>
      <c r="CJ295" s="122"/>
      <c r="CK295" s="123"/>
      <c r="CL295" s="126"/>
      <c r="CN295" s="13">
        <v>10</v>
      </c>
      <c r="CO295" s="13">
        <v>20</v>
      </c>
      <c r="CP295" s="13">
        <v>400</v>
      </c>
      <c r="CQ295" s="13">
        <v>1</v>
      </c>
      <c r="CR295" s="14">
        <f t="shared" si="105"/>
        <v>0.08</v>
      </c>
      <c r="CS295" s="13"/>
      <c r="CT295" s="14"/>
      <c r="CU295" s="41"/>
      <c r="DA295" s="7" t="s">
        <v>119</v>
      </c>
      <c r="DB295" s="6">
        <f>SUM(DB283+DB235+DB192)</f>
        <v>904</v>
      </c>
      <c r="DC295" s="7">
        <f>SUM(DC283+DC235+DC192)</f>
        <v>29.152520000000003</v>
      </c>
      <c r="DJ295" s="7" t="s">
        <v>118</v>
      </c>
      <c r="DK295" s="6">
        <f>SUM(DK284+DK246+DK210)</f>
        <v>833</v>
      </c>
      <c r="DL295" s="7">
        <f>SUM(DL284+DL246+DL210)</f>
        <v>32.127600000000001</v>
      </c>
    </row>
    <row r="296" spans="20:116" ht="15" customHeight="1" x14ac:dyDescent="0.25">
      <c r="T296" s="122">
        <v>3.2</v>
      </c>
      <c r="U296" s="122">
        <v>7</v>
      </c>
      <c r="V296" s="122">
        <v>250</v>
      </c>
      <c r="W296" s="122">
        <v>12</v>
      </c>
      <c r="X296" s="123">
        <f t="shared" si="106"/>
        <v>6.720000000000001E-2</v>
      </c>
      <c r="Y296" s="122"/>
      <c r="Z296" s="123"/>
      <c r="AA296" s="122"/>
      <c r="AC296" s="13">
        <v>8</v>
      </c>
      <c r="AD296" s="13">
        <v>10</v>
      </c>
      <c r="AE296" s="13">
        <v>300</v>
      </c>
      <c r="AF296" s="13">
        <v>1</v>
      </c>
      <c r="AG296" s="14">
        <f t="shared" si="101"/>
        <v>2.4E-2</v>
      </c>
      <c r="AH296" s="13">
        <f>SUM(AF294:AF296)</f>
        <v>5</v>
      </c>
      <c r="AI296" s="14">
        <f>SUM(AG294:AG296)</f>
        <v>0.20399999999999999</v>
      </c>
      <c r="AJ296" s="13"/>
      <c r="AL296" s="61">
        <v>3.5</v>
      </c>
      <c r="AM296" s="61">
        <v>10</v>
      </c>
      <c r="AN296" s="61">
        <v>400</v>
      </c>
      <c r="AO296" s="61">
        <v>18</v>
      </c>
      <c r="AP296" s="63">
        <f>AL296*AM296*AN296*AO296/1000000</f>
        <v>0.252</v>
      </c>
      <c r="AQ296" s="37"/>
      <c r="AR296" s="36"/>
      <c r="AS296" s="13"/>
      <c r="AU296" s="13">
        <v>4.5</v>
      </c>
      <c r="AV296" s="13">
        <v>20</v>
      </c>
      <c r="AW296" s="13">
        <v>400</v>
      </c>
      <c r="AX296" s="13">
        <v>3</v>
      </c>
      <c r="AY296" s="14">
        <f t="shared" si="100"/>
        <v>0.108</v>
      </c>
      <c r="AZ296" s="13"/>
      <c r="BA296" s="14"/>
      <c r="BB296" s="13"/>
      <c r="BD296" s="13">
        <v>6</v>
      </c>
      <c r="BE296" s="13">
        <v>20</v>
      </c>
      <c r="BF296" s="13">
        <v>400</v>
      </c>
      <c r="BG296" s="13">
        <v>2</v>
      </c>
      <c r="BH296" s="14">
        <f t="shared" si="94"/>
        <v>9.6000000000000002E-2</v>
      </c>
      <c r="BI296" s="13"/>
      <c r="BJ296" s="14"/>
      <c r="BK296" s="13"/>
      <c r="BM296" s="13">
        <v>13</v>
      </c>
      <c r="BN296" s="13">
        <v>20</v>
      </c>
      <c r="BO296" s="13">
        <v>400</v>
      </c>
      <c r="BP296" s="13">
        <v>1</v>
      </c>
      <c r="BQ296" s="14">
        <f>BM296*BN296*BO296*BP296/1000000</f>
        <v>0.104</v>
      </c>
      <c r="BR296" s="13"/>
      <c r="BS296" s="14"/>
      <c r="BT296" s="13"/>
      <c r="BV296" s="24" t="s">
        <v>10</v>
      </c>
      <c r="BW296" s="23" t="s">
        <v>9</v>
      </c>
      <c r="BX296" s="23" t="s">
        <v>8</v>
      </c>
      <c r="BY296" s="22" t="s">
        <v>7</v>
      </c>
      <c r="BZ296" s="21" t="s">
        <v>6</v>
      </c>
      <c r="CA296" s="22" t="s">
        <v>7</v>
      </c>
      <c r="CB296" s="21" t="s">
        <v>6</v>
      </c>
      <c r="CC296" s="230"/>
      <c r="CE296" s="122">
        <v>4</v>
      </c>
      <c r="CF296" s="122">
        <v>6</v>
      </c>
      <c r="CG296" s="122">
        <v>400</v>
      </c>
      <c r="CH296" s="122">
        <v>24</v>
      </c>
      <c r="CI296" s="123">
        <f t="shared" si="99"/>
        <v>0.23039999999999999</v>
      </c>
      <c r="CJ296" s="122"/>
      <c r="CK296" s="123"/>
      <c r="CL296" s="126"/>
      <c r="CN296" s="13">
        <v>7</v>
      </c>
      <c r="CO296" s="13">
        <v>20</v>
      </c>
      <c r="CP296" s="13">
        <v>400</v>
      </c>
      <c r="CQ296" s="13">
        <v>1</v>
      </c>
      <c r="CR296" s="14">
        <f t="shared" si="105"/>
        <v>5.6000000000000001E-2</v>
      </c>
      <c r="CS296" s="13"/>
      <c r="CT296" s="14"/>
      <c r="CU296" s="41"/>
      <c r="DA296" s="7" t="s">
        <v>118</v>
      </c>
      <c r="DB296" s="6">
        <f>SUM(DB287+DB241+DB196)</f>
        <v>1425</v>
      </c>
      <c r="DC296" s="5">
        <f>SUM(DC287+DC241+DC196)</f>
        <v>8.8589999999999982</v>
      </c>
      <c r="DJ296" s="7" t="s">
        <v>119</v>
      </c>
      <c r="DK296" s="6">
        <f>SUM(DK287+DK212)</f>
        <v>1134</v>
      </c>
      <c r="DL296" s="7">
        <f>SUM(DL287+DL212)</f>
        <v>7.0335999999999999</v>
      </c>
    </row>
    <row r="297" spans="20:116" ht="15" customHeight="1" thickBot="1" x14ac:dyDescent="0.3">
      <c r="T297" s="122">
        <v>3</v>
      </c>
      <c r="U297" s="122">
        <v>5</v>
      </c>
      <c r="V297" s="122">
        <v>400</v>
      </c>
      <c r="W297" s="122">
        <v>310</v>
      </c>
      <c r="X297" s="123">
        <f t="shared" si="106"/>
        <v>1.86</v>
      </c>
      <c r="Y297" s="122">
        <f>SUM(W292:W297)</f>
        <v>357</v>
      </c>
      <c r="Z297" s="123">
        <f>SUM(X292:X297)</f>
        <v>2.5396999999999998</v>
      </c>
      <c r="AA297" s="122"/>
      <c r="AC297" s="13">
        <v>7</v>
      </c>
      <c r="AD297" s="13">
        <v>7</v>
      </c>
      <c r="AE297" s="13">
        <v>300</v>
      </c>
      <c r="AF297" s="13">
        <v>1</v>
      </c>
      <c r="AG297" s="14">
        <f t="shared" si="101"/>
        <v>1.47E-2</v>
      </c>
      <c r="AH297" s="13">
        <f>SUM(AF297)</f>
        <v>1</v>
      </c>
      <c r="AI297" s="14">
        <f>SUM(AG297)</f>
        <v>1.47E-2</v>
      </c>
      <c r="AJ297" s="13"/>
      <c r="AL297" s="61">
        <v>7</v>
      </c>
      <c r="AM297" s="61">
        <v>10</v>
      </c>
      <c r="AN297" s="61">
        <v>400</v>
      </c>
      <c r="AO297" s="61">
        <v>18</v>
      </c>
      <c r="AP297" s="63">
        <f t="shared" si="102"/>
        <v>0.504</v>
      </c>
      <c r="AQ297" s="37"/>
      <c r="AR297" s="36"/>
      <c r="AS297" s="13"/>
      <c r="AU297" s="13">
        <v>15</v>
      </c>
      <c r="AV297" s="13">
        <v>20</v>
      </c>
      <c r="AW297" s="13">
        <v>400</v>
      </c>
      <c r="AX297" s="13">
        <v>3</v>
      </c>
      <c r="AY297" s="14">
        <f t="shared" si="100"/>
        <v>0.36</v>
      </c>
      <c r="AZ297" s="13"/>
      <c r="BA297" s="14"/>
      <c r="BB297" s="13"/>
      <c r="BD297" s="13">
        <v>8</v>
      </c>
      <c r="BE297" s="13">
        <v>15</v>
      </c>
      <c r="BF297" s="13">
        <v>400</v>
      </c>
      <c r="BG297" s="13">
        <v>1</v>
      </c>
      <c r="BH297" s="14">
        <f t="shared" si="94"/>
        <v>4.8000000000000001E-2</v>
      </c>
      <c r="BI297" s="13"/>
      <c r="BJ297" s="14"/>
      <c r="BK297" s="13"/>
      <c r="BM297" s="13">
        <v>13</v>
      </c>
      <c r="BN297" s="13">
        <v>30</v>
      </c>
      <c r="BO297" s="13">
        <v>400</v>
      </c>
      <c r="BP297" s="13">
        <v>2</v>
      </c>
      <c r="BQ297" s="14">
        <f>BM297*BN297*BO297*BP297/1000000</f>
        <v>0.312</v>
      </c>
      <c r="BR297" s="13"/>
      <c r="BS297" s="14"/>
      <c r="BT297" s="41"/>
      <c r="BV297" s="13">
        <v>4.5</v>
      </c>
      <c r="BW297" s="13">
        <v>20</v>
      </c>
      <c r="BX297" s="13">
        <v>400</v>
      </c>
      <c r="BY297" s="13">
        <v>9</v>
      </c>
      <c r="BZ297" s="14">
        <f t="shared" ref="BZ297:BZ331" si="109">BV297*BW297*BX297*BY297/1000000</f>
        <v>0.32400000000000001</v>
      </c>
      <c r="CA297" s="13"/>
      <c r="CB297" s="14"/>
      <c r="CC297" s="13"/>
      <c r="CE297" s="122">
        <v>3</v>
      </c>
      <c r="CF297" s="122">
        <v>5</v>
      </c>
      <c r="CG297" s="122">
        <v>400</v>
      </c>
      <c r="CH297" s="122">
        <v>140</v>
      </c>
      <c r="CI297" s="123">
        <f t="shared" si="99"/>
        <v>0.84</v>
      </c>
      <c r="CJ297" s="122"/>
      <c r="CK297" s="123"/>
      <c r="CL297" s="126"/>
      <c r="CN297" s="13">
        <v>2.2000000000000002</v>
      </c>
      <c r="CO297" s="13">
        <v>20</v>
      </c>
      <c r="CP297" s="13">
        <v>400</v>
      </c>
      <c r="CQ297" s="13">
        <v>2</v>
      </c>
      <c r="CR297" s="14">
        <f t="shared" si="105"/>
        <v>3.5200000000000002E-2</v>
      </c>
      <c r="CS297" s="13"/>
      <c r="CT297" s="14"/>
      <c r="CU297" s="41"/>
      <c r="DA297" s="4"/>
      <c r="DB297" s="3">
        <f>SUM(DB295:DB296)</f>
        <v>2329</v>
      </c>
      <c r="DC297" s="53">
        <f>SUM(DC295:DC296)</f>
        <v>38.011520000000004</v>
      </c>
      <c r="DJ297" s="7" t="s">
        <v>149</v>
      </c>
      <c r="DK297" s="6">
        <f>SUM(DK208)</f>
        <v>0</v>
      </c>
      <c r="DL297" s="5">
        <f>SUM(DL208)</f>
        <v>0</v>
      </c>
    </row>
    <row r="298" spans="20:116" ht="15" customHeight="1" thickTop="1" x14ac:dyDescent="0.25">
      <c r="T298" s="13">
        <v>2.2000000000000002</v>
      </c>
      <c r="U298" s="13">
        <v>25</v>
      </c>
      <c r="V298" s="13">
        <v>400</v>
      </c>
      <c r="W298" s="13">
        <v>1</v>
      </c>
      <c r="X298" s="14">
        <f t="shared" si="106"/>
        <v>2.2000000000000002E-2</v>
      </c>
      <c r="Y298" s="13"/>
      <c r="Z298" s="14"/>
      <c r="AA298" s="13"/>
      <c r="AC298" s="13">
        <v>6</v>
      </c>
      <c r="AD298" s="13">
        <v>15</v>
      </c>
      <c r="AE298" s="13">
        <v>400</v>
      </c>
      <c r="AF298" s="13">
        <v>11</v>
      </c>
      <c r="AG298" s="14">
        <f t="shared" si="101"/>
        <v>0.39600000000000002</v>
      </c>
      <c r="AH298" s="13"/>
      <c r="AI298" s="14"/>
      <c r="AJ298" s="13"/>
      <c r="AL298" s="61">
        <v>2.2000000000000002</v>
      </c>
      <c r="AM298" s="61">
        <v>10</v>
      </c>
      <c r="AN298" s="61">
        <v>400</v>
      </c>
      <c r="AO298" s="61">
        <v>20</v>
      </c>
      <c r="AP298" s="63">
        <f t="shared" si="102"/>
        <v>0.17599999999999999</v>
      </c>
      <c r="AQ298" s="37"/>
      <c r="AR298" s="36"/>
      <c r="AS298" s="13"/>
      <c r="AU298" s="13">
        <v>13</v>
      </c>
      <c r="AV298" s="13">
        <v>20</v>
      </c>
      <c r="AW298" s="13">
        <v>400</v>
      </c>
      <c r="AX298" s="13">
        <v>4</v>
      </c>
      <c r="AY298" s="14">
        <f t="shared" si="100"/>
        <v>0.41599999999999998</v>
      </c>
      <c r="AZ298" s="13"/>
      <c r="BA298" s="14"/>
      <c r="BB298" s="13"/>
      <c r="BD298" s="13">
        <v>6</v>
      </c>
      <c r="BE298" s="13">
        <v>15</v>
      </c>
      <c r="BF298" s="13">
        <v>400</v>
      </c>
      <c r="BG298" s="13">
        <v>2</v>
      </c>
      <c r="BH298" s="14">
        <f t="shared" si="94"/>
        <v>7.1999999999999995E-2</v>
      </c>
      <c r="BI298" s="13"/>
      <c r="BJ298" s="14"/>
      <c r="BK298" s="13"/>
      <c r="BM298" s="13">
        <v>7</v>
      </c>
      <c r="BN298" s="13">
        <v>25</v>
      </c>
      <c r="BO298" s="13">
        <v>400</v>
      </c>
      <c r="BP298" s="13">
        <v>2</v>
      </c>
      <c r="BQ298" s="14">
        <f t="shared" ref="BQ298:BQ334" si="110">BM298*BN298*BO298*BP298/1000000</f>
        <v>0.14000000000000001</v>
      </c>
      <c r="BR298" s="13"/>
      <c r="BS298" s="14"/>
      <c r="BT298" s="13"/>
      <c r="BV298" s="13">
        <v>8</v>
      </c>
      <c r="BW298" s="13">
        <v>25</v>
      </c>
      <c r="BX298" s="13">
        <v>400</v>
      </c>
      <c r="BY298" s="13">
        <v>1</v>
      </c>
      <c r="BZ298" s="14">
        <f t="shared" si="109"/>
        <v>0.08</v>
      </c>
      <c r="CA298" s="13"/>
      <c r="CB298" s="14"/>
      <c r="CC298" s="13"/>
      <c r="CE298" s="122">
        <v>2</v>
      </c>
      <c r="CF298" s="122">
        <v>3</v>
      </c>
      <c r="CG298" s="122">
        <v>400</v>
      </c>
      <c r="CH298" s="122">
        <v>100</v>
      </c>
      <c r="CI298" s="123">
        <f t="shared" si="99"/>
        <v>0.24</v>
      </c>
      <c r="CJ298" s="133">
        <f>SUM(CH258:CH298)</f>
        <v>556</v>
      </c>
      <c r="CK298" s="179">
        <f>SUM(CI258:CI298)</f>
        <v>13.325880000000002</v>
      </c>
      <c r="CL298" s="126" t="s">
        <v>23</v>
      </c>
      <c r="CN298" s="13">
        <v>10</v>
      </c>
      <c r="CO298" s="13">
        <v>20</v>
      </c>
      <c r="CP298" s="13">
        <v>400</v>
      </c>
      <c r="CQ298" s="13">
        <v>8</v>
      </c>
      <c r="CR298" s="14">
        <f t="shared" si="105"/>
        <v>0.64</v>
      </c>
      <c r="CS298" s="13"/>
      <c r="CT298" s="14"/>
      <c r="CU298" s="41"/>
      <c r="DJ298" s="7" t="s">
        <v>148</v>
      </c>
      <c r="DK298" s="6">
        <v>0</v>
      </c>
      <c r="DL298" s="5">
        <v>0</v>
      </c>
    </row>
    <row r="299" spans="20:116" ht="15" customHeight="1" thickBot="1" x14ac:dyDescent="0.3">
      <c r="T299" s="13">
        <v>2.2000000000000002</v>
      </c>
      <c r="U299" s="13">
        <v>20</v>
      </c>
      <c r="V299" s="13">
        <v>400</v>
      </c>
      <c r="W299" s="13">
        <v>12</v>
      </c>
      <c r="X299" s="14">
        <f t="shared" si="106"/>
        <v>0.2112</v>
      </c>
      <c r="Y299" s="13"/>
      <c r="Z299" s="14"/>
      <c r="AA299" s="13"/>
      <c r="AC299" s="13">
        <v>6</v>
      </c>
      <c r="AD299" s="13">
        <v>15</v>
      </c>
      <c r="AE299" s="13">
        <v>300</v>
      </c>
      <c r="AF299" s="13">
        <v>12</v>
      </c>
      <c r="AG299" s="14">
        <f t="shared" si="101"/>
        <v>0.32400000000000001</v>
      </c>
      <c r="AH299" s="13"/>
      <c r="AI299" s="14"/>
      <c r="AJ299" s="13"/>
      <c r="AL299" s="61">
        <v>1.7</v>
      </c>
      <c r="AM299" s="61">
        <v>10</v>
      </c>
      <c r="AN299" s="61">
        <v>400</v>
      </c>
      <c r="AO299" s="61">
        <v>19</v>
      </c>
      <c r="AP299" s="63">
        <f t="shared" si="102"/>
        <v>0.12920000000000001</v>
      </c>
      <c r="AQ299" s="37"/>
      <c r="AR299" s="36"/>
      <c r="AS299" s="13"/>
      <c r="AU299" s="13">
        <v>3.5</v>
      </c>
      <c r="AV299" s="13">
        <v>20</v>
      </c>
      <c r="AW299" s="13">
        <v>400</v>
      </c>
      <c r="AX299" s="13">
        <v>1</v>
      </c>
      <c r="AY299" s="14">
        <f t="shared" si="100"/>
        <v>2.8000000000000001E-2</v>
      </c>
      <c r="AZ299" s="13"/>
      <c r="BA299" s="14"/>
      <c r="BB299" s="13"/>
      <c r="BD299" s="13">
        <v>2</v>
      </c>
      <c r="BE299" s="13">
        <v>15</v>
      </c>
      <c r="BF299" s="13">
        <v>400</v>
      </c>
      <c r="BG299" s="13">
        <v>1</v>
      </c>
      <c r="BH299" s="14">
        <f t="shared" si="94"/>
        <v>1.2E-2</v>
      </c>
      <c r="BI299" s="13"/>
      <c r="BJ299" s="14"/>
      <c r="BK299" s="13"/>
      <c r="BM299" s="13">
        <v>8</v>
      </c>
      <c r="BN299" s="13">
        <v>25</v>
      </c>
      <c r="BO299" s="13">
        <v>400</v>
      </c>
      <c r="BP299" s="13">
        <v>1</v>
      </c>
      <c r="BQ299" s="14">
        <f t="shared" si="110"/>
        <v>0.08</v>
      </c>
      <c r="BR299" s="13"/>
      <c r="BS299" s="14"/>
      <c r="BT299" s="13"/>
      <c r="BV299" s="13">
        <v>15</v>
      </c>
      <c r="BW299" s="13">
        <v>30</v>
      </c>
      <c r="BX299" s="13">
        <v>400</v>
      </c>
      <c r="BY299" s="13">
        <v>5</v>
      </c>
      <c r="BZ299" s="14">
        <f t="shared" si="109"/>
        <v>0.9</v>
      </c>
      <c r="CA299" s="13"/>
      <c r="CB299" s="14"/>
      <c r="CC299" s="13"/>
      <c r="CE299" s="115"/>
      <c r="CF299" s="115"/>
      <c r="CG299" s="115"/>
      <c r="CH299" s="17">
        <f>SUM(CH258:CH298)</f>
        <v>556</v>
      </c>
      <c r="CI299" s="48">
        <f>SUM(CI258:CI298)</f>
        <v>13.325880000000002</v>
      </c>
      <c r="CJ299" s="17">
        <f>SUM(CJ258:CJ298)</f>
        <v>556</v>
      </c>
      <c r="CK299" s="48">
        <f>SUM(CK258:CK298)</f>
        <v>13.325880000000002</v>
      </c>
      <c r="CL299" s="17"/>
      <c r="CN299" s="13">
        <v>7</v>
      </c>
      <c r="CO299" s="13">
        <v>20</v>
      </c>
      <c r="CP299" s="13">
        <v>400</v>
      </c>
      <c r="CQ299" s="13">
        <v>6</v>
      </c>
      <c r="CR299" s="14">
        <f t="shared" si="105"/>
        <v>0.33600000000000002</v>
      </c>
      <c r="CS299" s="13"/>
      <c r="CT299" s="14"/>
      <c r="CU299" s="41"/>
      <c r="DJ299" s="4"/>
      <c r="DK299" s="3">
        <f>SUM(DK295:DK298)</f>
        <v>1967</v>
      </c>
      <c r="DL299" s="53">
        <f>SUM(DL295:DL298)</f>
        <v>39.161200000000001</v>
      </c>
    </row>
    <row r="300" spans="20:116" ht="15" customHeight="1" thickTop="1" x14ac:dyDescent="0.25">
      <c r="T300" s="13">
        <v>2.2000000000000002</v>
      </c>
      <c r="U300" s="13">
        <v>18</v>
      </c>
      <c r="V300" s="13">
        <v>400</v>
      </c>
      <c r="W300" s="13">
        <v>2</v>
      </c>
      <c r="X300" s="14">
        <f t="shared" si="106"/>
        <v>3.168E-2</v>
      </c>
      <c r="Y300" s="13"/>
      <c r="Z300" s="14"/>
      <c r="AA300" s="13"/>
      <c r="AC300" s="13">
        <v>6</v>
      </c>
      <c r="AD300" s="13">
        <v>6</v>
      </c>
      <c r="AE300" s="13">
        <v>300</v>
      </c>
      <c r="AF300" s="13">
        <v>1</v>
      </c>
      <c r="AG300" s="14">
        <f t="shared" si="101"/>
        <v>1.0800000000000001E-2</v>
      </c>
      <c r="AH300" s="13">
        <f>SUM(AF298:AF300)</f>
        <v>24</v>
      </c>
      <c r="AI300" s="14">
        <f>SUM(AG298:AG300)</f>
        <v>0.73080000000000001</v>
      </c>
      <c r="AJ300" s="13"/>
      <c r="AL300" s="61">
        <v>8</v>
      </c>
      <c r="AM300" s="61">
        <v>10</v>
      </c>
      <c r="AN300" s="61">
        <v>400</v>
      </c>
      <c r="AO300" s="61">
        <v>2</v>
      </c>
      <c r="AP300" s="63">
        <f t="shared" si="102"/>
        <v>6.4000000000000001E-2</v>
      </c>
      <c r="AQ300" s="37"/>
      <c r="AR300" s="36"/>
      <c r="AS300" s="13"/>
      <c r="AU300" s="13">
        <v>2.2000000000000002</v>
      </c>
      <c r="AV300" s="13">
        <v>25</v>
      </c>
      <c r="AW300" s="13">
        <v>400</v>
      </c>
      <c r="AX300" s="13">
        <v>1</v>
      </c>
      <c r="AY300" s="14">
        <f t="shared" si="100"/>
        <v>2.2000000000000002E-2</v>
      </c>
      <c r="AZ300" s="13"/>
      <c r="BA300" s="14"/>
      <c r="BB300" s="13"/>
      <c r="BD300" s="13">
        <v>6</v>
      </c>
      <c r="BE300" s="13">
        <v>12</v>
      </c>
      <c r="BF300" s="13">
        <v>400</v>
      </c>
      <c r="BG300" s="13">
        <v>3</v>
      </c>
      <c r="BH300" s="14">
        <f t="shared" si="94"/>
        <v>8.6400000000000005E-2</v>
      </c>
      <c r="BI300" s="13"/>
      <c r="BJ300" s="14"/>
      <c r="BK300" s="13"/>
      <c r="BM300" s="13">
        <v>10</v>
      </c>
      <c r="BN300" s="13">
        <v>25</v>
      </c>
      <c r="BO300" s="13">
        <v>400</v>
      </c>
      <c r="BP300" s="13">
        <v>4</v>
      </c>
      <c r="BQ300" s="14">
        <f t="shared" si="110"/>
        <v>0.4</v>
      </c>
      <c r="BR300" s="13"/>
      <c r="BS300" s="14"/>
      <c r="BT300" s="13"/>
      <c r="BV300" s="13">
        <v>15</v>
      </c>
      <c r="BW300" s="13">
        <v>20</v>
      </c>
      <c r="BX300" s="13">
        <v>400</v>
      </c>
      <c r="BY300" s="13">
        <v>1</v>
      </c>
      <c r="BZ300" s="14">
        <f t="shared" si="109"/>
        <v>0.12</v>
      </c>
      <c r="CA300" s="13"/>
      <c r="CB300" s="14"/>
      <c r="CC300" s="13"/>
      <c r="CN300" s="13">
        <v>3.5</v>
      </c>
      <c r="CO300" s="13">
        <v>20</v>
      </c>
      <c r="CP300" s="13">
        <v>400</v>
      </c>
      <c r="CQ300" s="13">
        <v>4</v>
      </c>
      <c r="CR300" s="14">
        <f t="shared" si="105"/>
        <v>0.112</v>
      </c>
      <c r="CS300" s="13"/>
      <c r="CT300" s="14"/>
      <c r="CU300" s="41"/>
    </row>
    <row r="301" spans="20:116" ht="15" customHeight="1" x14ac:dyDescent="0.25">
      <c r="T301" s="13">
        <v>2.2000000000000002</v>
      </c>
      <c r="U301" s="13">
        <v>15</v>
      </c>
      <c r="V301" s="13">
        <v>400</v>
      </c>
      <c r="W301" s="13">
        <v>1</v>
      </c>
      <c r="X301" s="14">
        <f t="shared" si="106"/>
        <v>1.32E-2</v>
      </c>
      <c r="Y301" s="13"/>
      <c r="Z301" s="14"/>
      <c r="AA301" s="13"/>
      <c r="AC301" s="57">
        <v>5</v>
      </c>
      <c r="AD301" s="57">
        <v>7</v>
      </c>
      <c r="AE301" s="57">
        <v>300</v>
      </c>
      <c r="AF301" s="57">
        <v>2</v>
      </c>
      <c r="AG301" s="56">
        <f t="shared" si="101"/>
        <v>2.1000000000000001E-2</v>
      </c>
      <c r="AH301" s="57">
        <f>SUM(AF301)</f>
        <v>2</v>
      </c>
      <c r="AI301" s="56">
        <f>SUM(AG301)</f>
        <v>2.1000000000000001E-2</v>
      </c>
      <c r="AJ301" s="57"/>
      <c r="AL301" s="130">
        <v>3</v>
      </c>
      <c r="AM301" s="130">
        <v>5</v>
      </c>
      <c r="AN301" s="130">
        <v>400</v>
      </c>
      <c r="AO301" s="130">
        <v>210</v>
      </c>
      <c r="AP301" s="131">
        <f t="shared" si="102"/>
        <v>1.26</v>
      </c>
      <c r="AQ301" s="162">
        <f>SUM(AO283:AO301)</f>
        <v>374</v>
      </c>
      <c r="AR301" s="163">
        <f>SUM(AP283:AP301)</f>
        <v>4.0635199999999996</v>
      </c>
      <c r="AS301" s="164" t="s">
        <v>23</v>
      </c>
      <c r="AU301" s="13">
        <v>15</v>
      </c>
      <c r="AV301" s="13">
        <v>25</v>
      </c>
      <c r="AW301" s="13">
        <v>400</v>
      </c>
      <c r="AX301" s="13">
        <v>1</v>
      </c>
      <c r="AY301" s="14">
        <f t="shared" si="100"/>
        <v>0.15</v>
      </c>
      <c r="AZ301" s="13"/>
      <c r="BA301" s="14"/>
      <c r="BB301" s="13"/>
      <c r="BD301" s="13">
        <v>3</v>
      </c>
      <c r="BE301" s="13">
        <v>12</v>
      </c>
      <c r="BF301" s="13">
        <v>400</v>
      </c>
      <c r="BG301" s="13">
        <v>2</v>
      </c>
      <c r="BH301" s="14">
        <f t="shared" si="94"/>
        <v>2.8799999999999999E-2</v>
      </c>
      <c r="BI301" s="13"/>
      <c r="BJ301" s="14"/>
      <c r="BK301" s="13"/>
      <c r="BM301" s="13">
        <v>4.5</v>
      </c>
      <c r="BN301" s="13">
        <v>15</v>
      </c>
      <c r="BO301" s="13">
        <v>400</v>
      </c>
      <c r="BP301" s="13">
        <v>10</v>
      </c>
      <c r="BQ301" s="14">
        <f t="shared" si="110"/>
        <v>0.27</v>
      </c>
      <c r="BR301" s="13"/>
      <c r="BS301" s="14"/>
      <c r="BT301" s="13"/>
      <c r="BV301" s="13">
        <v>15</v>
      </c>
      <c r="BW301" s="13">
        <v>25</v>
      </c>
      <c r="BX301" s="13">
        <v>400</v>
      </c>
      <c r="BY301" s="13">
        <v>3</v>
      </c>
      <c r="BZ301" s="14">
        <f t="shared" si="109"/>
        <v>0.45</v>
      </c>
      <c r="CA301" s="13"/>
      <c r="CB301" s="14"/>
      <c r="CC301" s="13"/>
      <c r="CE301" s="231" t="s">
        <v>19</v>
      </c>
      <c r="CF301" s="231"/>
      <c r="CG301" s="231"/>
      <c r="CH301" s="231"/>
      <c r="CI301" s="231"/>
      <c r="CJ301" s="231"/>
      <c r="CK301" s="231"/>
      <c r="CL301" s="231"/>
      <c r="CN301" s="13">
        <v>8</v>
      </c>
      <c r="CO301" s="13">
        <v>20</v>
      </c>
      <c r="CP301" s="13">
        <v>400</v>
      </c>
      <c r="CQ301" s="13">
        <v>1</v>
      </c>
      <c r="CR301" s="14">
        <f t="shared" si="105"/>
        <v>6.4000000000000001E-2</v>
      </c>
      <c r="CS301" s="13"/>
      <c r="CT301" s="14"/>
      <c r="CU301" s="41"/>
    </row>
    <row r="302" spans="20:116" ht="15" customHeight="1" thickBot="1" x14ac:dyDescent="0.3">
      <c r="T302" s="13">
        <v>2.2000000000000002</v>
      </c>
      <c r="U302" s="13">
        <v>15</v>
      </c>
      <c r="V302" s="13">
        <v>400</v>
      </c>
      <c r="W302" s="13">
        <v>1</v>
      </c>
      <c r="X302" s="14">
        <f t="shared" si="106"/>
        <v>1.32E-2</v>
      </c>
      <c r="Y302" s="13"/>
      <c r="Z302" s="14"/>
      <c r="AA302" s="13"/>
      <c r="AC302" s="13">
        <v>4.5</v>
      </c>
      <c r="AD302" s="13">
        <v>10</v>
      </c>
      <c r="AE302" s="13">
        <v>400</v>
      </c>
      <c r="AF302" s="13">
        <v>19</v>
      </c>
      <c r="AG302" s="14">
        <f t="shared" si="101"/>
        <v>0.34200000000000003</v>
      </c>
      <c r="AH302" s="13"/>
      <c r="AI302" s="14"/>
      <c r="AJ302" s="13"/>
      <c r="AL302" s="237"/>
      <c r="AM302" s="237"/>
      <c r="AN302" s="238"/>
      <c r="AO302" s="17">
        <f>SUM(AO247:AO301)</f>
        <v>635</v>
      </c>
      <c r="AP302" s="32">
        <f>SUM(AP247:AP301)</f>
        <v>11.55222</v>
      </c>
      <c r="AQ302" s="17">
        <f>SUM(AQ247:AQ301)</f>
        <v>635</v>
      </c>
      <c r="AR302" s="32">
        <f>SUM(AR247:AR301)</f>
        <v>11.552219999999998</v>
      </c>
      <c r="AS302" s="17"/>
      <c r="AU302" s="13">
        <v>8</v>
      </c>
      <c r="AV302" s="13">
        <v>30</v>
      </c>
      <c r="AW302" s="13">
        <v>400</v>
      </c>
      <c r="AX302" s="13">
        <v>1</v>
      </c>
      <c r="AY302" s="14">
        <f t="shared" si="100"/>
        <v>9.6000000000000002E-2</v>
      </c>
      <c r="AZ302" s="13"/>
      <c r="BA302" s="14"/>
      <c r="BB302" s="13"/>
      <c r="BD302" s="13">
        <v>4.5</v>
      </c>
      <c r="BE302" s="13">
        <v>10</v>
      </c>
      <c r="BF302" s="13">
        <v>400</v>
      </c>
      <c r="BG302" s="13">
        <v>2</v>
      </c>
      <c r="BH302" s="14">
        <f t="shared" si="94"/>
        <v>3.5999999999999997E-2</v>
      </c>
      <c r="BI302" s="13"/>
      <c r="BJ302" s="14"/>
      <c r="BK302" s="13"/>
      <c r="BM302" s="13">
        <v>10</v>
      </c>
      <c r="BN302" s="13">
        <v>15</v>
      </c>
      <c r="BO302" s="13">
        <v>400</v>
      </c>
      <c r="BP302" s="13">
        <v>6</v>
      </c>
      <c r="BQ302" s="14">
        <f t="shared" si="110"/>
        <v>0.36</v>
      </c>
      <c r="BR302" s="13"/>
      <c r="BS302" s="14"/>
      <c r="BT302" s="41"/>
      <c r="BV302" s="13">
        <v>3.5</v>
      </c>
      <c r="BW302" s="13">
        <v>20</v>
      </c>
      <c r="BX302" s="13">
        <v>400</v>
      </c>
      <c r="BY302" s="13">
        <v>1</v>
      </c>
      <c r="BZ302" s="14">
        <f t="shared" si="109"/>
        <v>2.8000000000000001E-2</v>
      </c>
      <c r="CA302" s="13"/>
      <c r="CB302" s="14"/>
      <c r="CC302" s="13"/>
      <c r="CE302" s="231"/>
      <c r="CF302" s="231"/>
      <c r="CG302" s="231"/>
      <c r="CH302" s="231"/>
      <c r="CI302" s="231"/>
      <c r="CJ302" s="231"/>
      <c r="CK302" s="231"/>
      <c r="CL302" s="231"/>
      <c r="CN302" s="13">
        <v>4.5</v>
      </c>
      <c r="CO302" s="13">
        <v>20</v>
      </c>
      <c r="CP302" s="13">
        <v>400</v>
      </c>
      <c r="CQ302" s="13">
        <v>6</v>
      </c>
      <c r="CR302" s="14">
        <f t="shared" si="105"/>
        <v>0.216</v>
      </c>
      <c r="CS302" s="13"/>
      <c r="CT302" s="14"/>
      <c r="CU302" s="41"/>
    </row>
    <row r="303" spans="20:116" ht="15" customHeight="1" thickTop="1" x14ac:dyDescent="0.25">
      <c r="T303" s="13">
        <v>2.2000000000000002</v>
      </c>
      <c r="U303" s="13">
        <v>13</v>
      </c>
      <c r="V303" s="13">
        <v>400</v>
      </c>
      <c r="W303" s="13">
        <v>1</v>
      </c>
      <c r="X303" s="14">
        <f t="shared" si="106"/>
        <v>1.1440000000000001E-2</v>
      </c>
      <c r="Y303" s="13"/>
      <c r="Z303" s="14"/>
      <c r="AA303" s="13"/>
      <c r="AC303" s="13">
        <v>4.5</v>
      </c>
      <c r="AD303" s="13">
        <v>10</v>
      </c>
      <c r="AE303" s="13">
        <v>400</v>
      </c>
      <c r="AF303" s="13">
        <v>1</v>
      </c>
      <c r="AG303" s="14">
        <f t="shared" si="101"/>
        <v>1.7999999999999999E-2</v>
      </c>
      <c r="AH303" s="13"/>
      <c r="AI303" s="14"/>
      <c r="AJ303" s="13"/>
      <c r="AU303" s="13">
        <v>15</v>
      </c>
      <c r="AV303" s="13">
        <v>30</v>
      </c>
      <c r="AW303" s="13">
        <v>400</v>
      </c>
      <c r="AX303" s="13">
        <v>1</v>
      </c>
      <c r="AY303" s="14">
        <f t="shared" si="100"/>
        <v>0.18</v>
      </c>
      <c r="AZ303" s="13"/>
      <c r="BA303" s="14"/>
      <c r="BB303" s="13"/>
      <c r="BD303" s="13">
        <v>2</v>
      </c>
      <c r="BE303" s="13">
        <v>10</v>
      </c>
      <c r="BF303" s="13">
        <v>400</v>
      </c>
      <c r="BG303" s="13">
        <v>5</v>
      </c>
      <c r="BH303" s="14">
        <f t="shared" si="94"/>
        <v>0.04</v>
      </c>
      <c r="BI303" s="13">
        <f>SUM(BG253:BG303)</f>
        <v>317</v>
      </c>
      <c r="BJ303" s="47">
        <f>SUM(BH253:BH303)</f>
        <v>11.777949999999997</v>
      </c>
      <c r="BK303" s="41" t="s">
        <v>23</v>
      </c>
      <c r="BM303" s="13">
        <v>8</v>
      </c>
      <c r="BN303" s="13">
        <v>15</v>
      </c>
      <c r="BO303" s="13">
        <v>400</v>
      </c>
      <c r="BP303" s="13">
        <v>2</v>
      </c>
      <c r="BQ303" s="14">
        <f t="shared" si="110"/>
        <v>9.6000000000000002E-2</v>
      </c>
      <c r="BR303" s="13"/>
      <c r="BS303" s="14"/>
      <c r="BT303" s="13"/>
      <c r="BV303" s="13">
        <v>7</v>
      </c>
      <c r="BW303" s="13">
        <v>20</v>
      </c>
      <c r="BX303" s="13">
        <v>400</v>
      </c>
      <c r="BY303" s="13">
        <v>5</v>
      </c>
      <c r="BZ303" s="14">
        <f t="shared" si="109"/>
        <v>0.28000000000000003</v>
      </c>
      <c r="CA303" s="13"/>
      <c r="CB303" s="14"/>
      <c r="CC303" s="13"/>
      <c r="CE303" s="28" t="s">
        <v>18</v>
      </c>
      <c r="CF303" s="27" t="s">
        <v>36</v>
      </c>
      <c r="CG303" s="26"/>
      <c r="CH303" s="26"/>
      <c r="CI303" s="26"/>
      <c r="CJ303" s="26"/>
      <c r="CK303" s="26"/>
      <c r="CL303" s="26"/>
      <c r="CN303" s="13">
        <v>13</v>
      </c>
      <c r="CO303" s="13">
        <v>20</v>
      </c>
      <c r="CP303" s="13">
        <v>400</v>
      </c>
      <c r="CQ303" s="13">
        <v>2</v>
      </c>
      <c r="CR303" s="14">
        <f t="shared" si="105"/>
        <v>0.20799999999999999</v>
      </c>
      <c r="CS303" s="13"/>
      <c r="CT303" s="14"/>
      <c r="CU303" s="41"/>
    </row>
    <row r="304" spans="20:116" ht="15" customHeight="1" x14ac:dyDescent="0.25">
      <c r="T304" s="13">
        <v>2.2000000000000002</v>
      </c>
      <c r="U304" s="13">
        <v>10</v>
      </c>
      <c r="V304" s="13">
        <v>400</v>
      </c>
      <c r="W304" s="13">
        <v>42</v>
      </c>
      <c r="X304" s="14">
        <f t="shared" si="106"/>
        <v>0.36959999999999998</v>
      </c>
      <c r="Y304" s="13">
        <f>SUM(W298:W304)</f>
        <v>60</v>
      </c>
      <c r="Z304" s="14">
        <f>SUM(X298:X304)</f>
        <v>0.67232000000000003</v>
      </c>
      <c r="AA304" s="13"/>
      <c r="AC304" s="13">
        <v>4.5</v>
      </c>
      <c r="AD304" s="13">
        <v>10</v>
      </c>
      <c r="AE304" s="13">
        <v>300</v>
      </c>
      <c r="AF304" s="13">
        <v>2</v>
      </c>
      <c r="AG304" s="14">
        <f t="shared" si="101"/>
        <v>2.7E-2</v>
      </c>
      <c r="AH304" s="13"/>
      <c r="AI304" s="14"/>
      <c r="AJ304" s="13"/>
      <c r="AL304" s="8" t="s">
        <v>25</v>
      </c>
      <c r="AU304" s="13">
        <v>15</v>
      </c>
      <c r="AV304" s="13">
        <v>33</v>
      </c>
      <c r="AW304" s="13">
        <v>400</v>
      </c>
      <c r="AX304" s="13">
        <v>1</v>
      </c>
      <c r="AY304" s="14">
        <f t="shared" si="100"/>
        <v>0.19800000000000001</v>
      </c>
      <c r="AZ304" s="13"/>
      <c r="BA304" s="95"/>
      <c r="BB304" s="41"/>
      <c r="BD304" s="119">
        <v>5</v>
      </c>
      <c r="BE304" s="119">
        <v>7</v>
      </c>
      <c r="BF304" s="119">
        <v>400</v>
      </c>
      <c r="BG304" s="119">
        <v>4</v>
      </c>
      <c r="BH304" s="120">
        <f t="shared" si="94"/>
        <v>5.6000000000000001E-2</v>
      </c>
      <c r="BI304" s="119"/>
      <c r="BJ304" s="120"/>
      <c r="BK304" s="119"/>
      <c r="BM304" s="13">
        <v>7</v>
      </c>
      <c r="BN304" s="13">
        <v>15</v>
      </c>
      <c r="BO304" s="13">
        <v>400</v>
      </c>
      <c r="BP304" s="13">
        <v>6</v>
      </c>
      <c r="BQ304" s="14">
        <f t="shared" si="110"/>
        <v>0.252</v>
      </c>
      <c r="BR304" s="13"/>
      <c r="BS304" s="14"/>
      <c r="BT304" s="13"/>
      <c r="BV304" s="13">
        <v>10</v>
      </c>
      <c r="BW304" s="13">
        <v>20</v>
      </c>
      <c r="BX304" s="13">
        <v>400</v>
      </c>
      <c r="BY304" s="13">
        <v>4</v>
      </c>
      <c r="BZ304" s="14">
        <f t="shared" si="109"/>
        <v>0.32</v>
      </c>
      <c r="CA304" s="13"/>
      <c r="CB304" s="14"/>
      <c r="CC304" s="13"/>
      <c r="CE304" s="28" t="s">
        <v>16</v>
      </c>
      <c r="CF304" s="27" t="s">
        <v>35</v>
      </c>
      <c r="CG304" s="26"/>
      <c r="CH304" s="26"/>
      <c r="CI304" s="26"/>
      <c r="CJ304" s="26"/>
      <c r="CK304" s="26"/>
      <c r="CL304" s="26"/>
      <c r="CN304" s="13">
        <v>8</v>
      </c>
      <c r="CO304" s="13">
        <v>15</v>
      </c>
      <c r="CP304" s="13">
        <v>400</v>
      </c>
      <c r="CQ304" s="13">
        <v>1</v>
      </c>
      <c r="CR304" s="14">
        <f t="shared" si="105"/>
        <v>4.8000000000000001E-2</v>
      </c>
      <c r="CS304" s="13"/>
      <c r="CT304" s="14"/>
      <c r="CU304" s="41"/>
    </row>
    <row r="305" spans="20:99" ht="15" customHeight="1" x14ac:dyDescent="0.25">
      <c r="T305" s="13">
        <v>1.7</v>
      </c>
      <c r="U305" s="13">
        <v>30</v>
      </c>
      <c r="V305" s="13">
        <v>400</v>
      </c>
      <c r="W305" s="13">
        <v>2</v>
      </c>
      <c r="X305" s="14">
        <f t="shared" si="106"/>
        <v>4.0800000000000003E-2</v>
      </c>
      <c r="Y305" s="13"/>
      <c r="Z305" s="14"/>
      <c r="AA305" s="13"/>
      <c r="AC305" s="13">
        <v>4.5</v>
      </c>
      <c r="AD305" s="13">
        <v>10</v>
      </c>
      <c r="AE305" s="13">
        <v>300</v>
      </c>
      <c r="AF305" s="13">
        <v>1</v>
      </c>
      <c r="AG305" s="14">
        <f t="shared" si="101"/>
        <v>1.35E-2</v>
      </c>
      <c r="AH305" s="13"/>
      <c r="AI305" s="14"/>
      <c r="AJ305" s="13"/>
      <c r="AL305" s="4" t="s">
        <v>24</v>
      </c>
      <c r="AM305" s="4"/>
      <c r="AN305" s="6">
        <f>SUM(AO169)</f>
        <v>401</v>
      </c>
      <c r="AO305" s="7">
        <f>SUM(AP169)</f>
        <v>11.35952</v>
      </c>
      <c r="AP305" s="4" t="s">
        <v>23</v>
      </c>
      <c r="AQ305" s="6">
        <f>SUM(AQ301,AQ237,AQ168)</f>
        <v>992</v>
      </c>
      <c r="AR305" s="40">
        <f>SUM(AR301,AR237,AR168)</f>
        <v>21.285719999999998</v>
      </c>
      <c r="AS305" s="4"/>
      <c r="AU305" s="13">
        <v>3.5</v>
      </c>
      <c r="AV305" s="13">
        <v>10</v>
      </c>
      <c r="AW305" s="13">
        <v>300</v>
      </c>
      <c r="AX305" s="13">
        <v>3</v>
      </c>
      <c r="AY305" s="14">
        <f t="shared" si="100"/>
        <v>3.15E-2</v>
      </c>
      <c r="AZ305" s="13"/>
      <c r="BA305" s="14"/>
      <c r="BB305" s="13"/>
      <c r="BD305" s="119">
        <v>4</v>
      </c>
      <c r="BE305" s="119">
        <v>6</v>
      </c>
      <c r="BF305" s="119">
        <v>400</v>
      </c>
      <c r="BG305" s="119">
        <v>6</v>
      </c>
      <c r="BH305" s="120">
        <f t="shared" si="94"/>
        <v>5.7599999999999998E-2</v>
      </c>
      <c r="BI305" s="119"/>
      <c r="BJ305" s="120"/>
      <c r="BK305" s="119"/>
      <c r="BM305" s="13">
        <v>1.7</v>
      </c>
      <c r="BN305" s="13">
        <v>15</v>
      </c>
      <c r="BO305" s="13">
        <v>400</v>
      </c>
      <c r="BP305" s="13">
        <v>1</v>
      </c>
      <c r="BQ305" s="14">
        <f t="shared" si="110"/>
        <v>1.0200000000000001E-2</v>
      </c>
      <c r="BR305" s="13"/>
      <c r="BS305" s="14"/>
      <c r="BT305" s="13"/>
      <c r="BV305" s="13">
        <v>13</v>
      </c>
      <c r="BW305" s="13">
        <v>20</v>
      </c>
      <c r="BX305" s="13">
        <v>400</v>
      </c>
      <c r="BY305" s="13">
        <v>2</v>
      </c>
      <c r="BZ305" s="14">
        <f t="shared" si="109"/>
        <v>0.20799999999999999</v>
      </c>
      <c r="CA305" s="13"/>
      <c r="CB305" s="14"/>
      <c r="CC305" s="13"/>
      <c r="CE305" s="43"/>
      <c r="CF305" s="25"/>
      <c r="CG305" s="25"/>
      <c r="CH305" s="25"/>
      <c r="CI305" s="25"/>
      <c r="CJ305" s="225" t="s">
        <v>154</v>
      </c>
      <c r="CK305" s="225"/>
      <c r="CL305" s="225"/>
      <c r="CN305" s="13">
        <v>3.5</v>
      </c>
      <c r="CO305" s="13">
        <v>15</v>
      </c>
      <c r="CP305" s="13">
        <v>400</v>
      </c>
      <c r="CQ305" s="13">
        <v>10</v>
      </c>
      <c r="CR305" s="14">
        <f t="shared" si="105"/>
        <v>0.21</v>
      </c>
      <c r="CS305" s="13"/>
      <c r="CT305" s="14"/>
      <c r="CU305" s="41"/>
    </row>
    <row r="306" spans="20:99" ht="15" customHeight="1" x14ac:dyDescent="0.25">
      <c r="T306" s="13">
        <v>1.7</v>
      </c>
      <c r="U306" s="13">
        <v>28</v>
      </c>
      <c r="V306" s="13">
        <v>400</v>
      </c>
      <c r="W306" s="13">
        <v>1</v>
      </c>
      <c r="X306" s="14">
        <f t="shared" si="106"/>
        <v>1.9040000000000001E-2</v>
      </c>
      <c r="Y306" s="13"/>
      <c r="Z306" s="14"/>
      <c r="AA306" s="13"/>
      <c r="AC306" s="13">
        <v>4.5</v>
      </c>
      <c r="AD306" s="13">
        <v>4.5</v>
      </c>
      <c r="AE306" s="13">
        <v>400</v>
      </c>
      <c r="AF306" s="13">
        <v>1</v>
      </c>
      <c r="AG306" s="14">
        <f t="shared" si="101"/>
        <v>8.0999999999999996E-3</v>
      </c>
      <c r="AH306" s="13"/>
      <c r="AI306" s="14"/>
      <c r="AJ306" s="13"/>
      <c r="AL306" s="4" t="s">
        <v>22</v>
      </c>
      <c r="AM306" s="4"/>
      <c r="AN306" s="6">
        <f>SUM(AO238)</f>
        <v>529</v>
      </c>
      <c r="AO306" s="7">
        <f>SUM(AP238)</f>
        <v>11.786380000000003</v>
      </c>
      <c r="AP306" s="4" t="s">
        <v>21</v>
      </c>
      <c r="AQ306" s="6">
        <f>SUM(AQ282,AQ203,AQ123)</f>
        <v>573</v>
      </c>
      <c r="AR306" s="4">
        <f>SUM(AR282,AR203,AR123)</f>
        <v>13.4124</v>
      </c>
      <c r="AS306" s="4"/>
      <c r="AU306" s="13">
        <v>4.5</v>
      </c>
      <c r="AV306" s="13">
        <v>10</v>
      </c>
      <c r="AW306" s="13">
        <v>300</v>
      </c>
      <c r="AX306" s="13">
        <v>10</v>
      </c>
      <c r="AY306" s="14">
        <f t="shared" si="100"/>
        <v>0.13500000000000001</v>
      </c>
      <c r="AZ306" s="13"/>
      <c r="BA306" s="14"/>
      <c r="BB306" s="13"/>
      <c r="BD306" s="119">
        <v>3</v>
      </c>
      <c r="BE306" s="119">
        <v>5</v>
      </c>
      <c r="BF306" s="119">
        <v>400</v>
      </c>
      <c r="BG306" s="119">
        <v>10</v>
      </c>
      <c r="BH306" s="120">
        <f t="shared" si="94"/>
        <v>0.06</v>
      </c>
      <c r="BI306" s="119"/>
      <c r="BJ306" s="120"/>
      <c r="BK306" s="119"/>
      <c r="BM306" s="13">
        <v>13</v>
      </c>
      <c r="BN306" s="13">
        <v>15</v>
      </c>
      <c r="BO306" s="13">
        <v>400</v>
      </c>
      <c r="BP306" s="13">
        <v>2</v>
      </c>
      <c r="BQ306" s="14">
        <f t="shared" si="110"/>
        <v>0.156</v>
      </c>
      <c r="BR306" s="13"/>
      <c r="BS306" s="14"/>
      <c r="BT306" s="13"/>
      <c r="BV306" s="13">
        <v>7</v>
      </c>
      <c r="BW306" s="13">
        <v>25</v>
      </c>
      <c r="BX306" s="13">
        <v>400</v>
      </c>
      <c r="BY306" s="13">
        <v>1</v>
      </c>
      <c r="BZ306" s="14">
        <f t="shared" si="109"/>
        <v>7.0000000000000007E-2</v>
      </c>
      <c r="CA306" s="13"/>
      <c r="CB306" s="14"/>
      <c r="CC306" s="13"/>
      <c r="CE306" s="226" t="s">
        <v>13</v>
      </c>
      <c r="CF306" s="227"/>
      <c r="CG306" s="228"/>
      <c r="CH306" s="227" t="s">
        <v>12</v>
      </c>
      <c r="CI306" s="228"/>
      <c r="CJ306" s="227" t="s">
        <v>12</v>
      </c>
      <c r="CK306" s="228"/>
      <c r="CL306" s="229" t="s">
        <v>11</v>
      </c>
      <c r="CN306" s="13">
        <v>4.5</v>
      </c>
      <c r="CO306" s="13">
        <v>15</v>
      </c>
      <c r="CP306" s="13">
        <v>400</v>
      </c>
      <c r="CQ306" s="13">
        <v>11</v>
      </c>
      <c r="CR306" s="14">
        <f t="shared" si="105"/>
        <v>0.29699999999999999</v>
      </c>
      <c r="CS306" s="13"/>
      <c r="CT306" s="14"/>
      <c r="CU306" s="41"/>
    </row>
    <row r="307" spans="20:99" ht="15" customHeight="1" thickBot="1" x14ac:dyDescent="0.3">
      <c r="T307" s="13">
        <v>1.7</v>
      </c>
      <c r="U307" s="13">
        <v>20</v>
      </c>
      <c r="V307" s="13">
        <v>400</v>
      </c>
      <c r="W307" s="13">
        <v>6</v>
      </c>
      <c r="X307" s="14">
        <f t="shared" si="106"/>
        <v>8.1600000000000006E-2</v>
      </c>
      <c r="Y307" s="13"/>
      <c r="Z307" s="14"/>
      <c r="AA307" s="13"/>
      <c r="AC307" s="13">
        <v>4.5</v>
      </c>
      <c r="AD307" s="13">
        <v>4.5</v>
      </c>
      <c r="AE307" s="13">
        <v>300</v>
      </c>
      <c r="AF307" s="13">
        <v>1</v>
      </c>
      <c r="AG307" s="14">
        <f t="shared" si="101"/>
        <v>6.0749999999999997E-3</v>
      </c>
      <c r="AH307" s="13">
        <f>SUM(AF302:AF307)</f>
        <v>25</v>
      </c>
      <c r="AI307" s="14">
        <f>SUM(AG302:AG307)</f>
        <v>0.41467500000000007</v>
      </c>
      <c r="AJ307" s="13"/>
      <c r="AL307" s="4" t="s">
        <v>20</v>
      </c>
      <c r="AM307" s="4"/>
      <c r="AN307" s="6">
        <f>SUM(AO302)</f>
        <v>635</v>
      </c>
      <c r="AO307" s="7">
        <f>SUM(AP302)</f>
        <v>11.55222</v>
      </c>
      <c r="AP307" s="4"/>
      <c r="AQ307" s="30">
        <f>SUM(AQ305:AQ306)</f>
        <v>1565</v>
      </c>
      <c r="AR307" s="31">
        <f>SUM(AR305:AR306)</f>
        <v>34.698119999999996</v>
      </c>
      <c r="AS307" s="4"/>
      <c r="AU307" s="13">
        <v>2.2000000000000002</v>
      </c>
      <c r="AV307" s="13">
        <v>10</v>
      </c>
      <c r="AW307" s="13">
        <v>300</v>
      </c>
      <c r="AX307" s="13">
        <v>31</v>
      </c>
      <c r="AY307" s="14">
        <f t="shared" si="100"/>
        <v>0.2046</v>
      </c>
      <c r="AZ307" s="13"/>
      <c r="BA307" s="14"/>
      <c r="BB307" s="13"/>
      <c r="BD307" s="119">
        <v>2</v>
      </c>
      <c r="BE307" s="119">
        <v>3</v>
      </c>
      <c r="BF307" s="119">
        <v>400</v>
      </c>
      <c r="BG307" s="119">
        <v>25</v>
      </c>
      <c r="BH307" s="120">
        <f t="shared" si="94"/>
        <v>0.06</v>
      </c>
      <c r="BI307" s="119">
        <f>SUM(BG304:BG307)</f>
        <v>45</v>
      </c>
      <c r="BJ307" s="120">
        <f>SUM(BH304:BH307)</f>
        <v>0.2336</v>
      </c>
      <c r="BK307" s="121" t="s">
        <v>21</v>
      </c>
      <c r="BM307" s="13">
        <v>2.2000000000000002</v>
      </c>
      <c r="BN307" s="13">
        <v>13</v>
      </c>
      <c r="BO307" s="13">
        <v>400</v>
      </c>
      <c r="BP307" s="13">
        <v>2</v>
      </c>
      <c r="BQ307" s="14">
        <f t="shared" si="110"/>
        <v>2.2880000000000001E-2</v>
      </c>
      <c r="BR307" s="13"/>
      <c r="BS307" s="14"/>
      <c r="BT307" s="41"/>
      <c r="BV307" s="13">
        <v>10</v>
      </c>
      <c r="BW307" s="13">
        <v>30</v>
      </c>
      <c r="BX307" s="13">
        <v>400</v>
      </c>
      <c r="BY307" s="13">
        <v>2</v>
      </c>
      <c r="BZ307" s="14">
        <f t="shared" si="109"/>
        <v>0.24</v>
      </c>
      <c r="CA307" s="13"/>
      <c r="CB307" s="14"/>
      <c r="CC307" s="13"/>
      <c r="CE307" s="24" t="s">
        <v>10</v>
      </c>
      <c r="CF307" s="23" t="s">
        <v>9</v>
      </c>
      <c r="CG307" s="23" t="s">
        <v>8</v>
      </c>
      <c r="CH307" s="22" t="s">
        <v>7</v>
      </c>
      <c r="CI307" s="21" t="s">
        <v>6</v>
      </c>
      <c r="CJ307" s="22" t="s">
        <v>7</v>
      </c>
      <c r="CK307" s="21" t="s">
        <v>6</v>
      </c>
      <c r="CL307" s="230"/>
      <c r="CN307" s="13">
        <v>7</v>
      </c>
      <c r="CO307" s="13">
        <v>15</v>
      </c>
      <c r="CP307" s="13">
        <v>400</v>
      </c>
      <c r="CQ307" s="13">
        <v>2</v>
      </c>
      <c r="CR307" s="14">
        <f t="shared" si="105"/>
        <v>8.4000000000000005E-2</v>
      </c>
      <c r="CS307" s="13"/>
      <c r="CT307" s="14"/>
      <c r="CU307" s="41"/>
    </row>
    <row r="308" spans="20:99" ht="15" customHeight="1" thickTop="1" thickBot="1" x14ac:dyDescent="0.3">
      <c r="T308" s="13">
        <v>1.7</v>
      </c>
      <c r="U308" s="13">
        <v>18</v>
      </c>
      <c r="V308" s="13">
        <v>400</v>
      </c>
      <c r="W308" s="13">
        <v>1</v>
      </c>
      <c r="X308" s="14">
        <f t="shared" si="106"/>
        <v>1.2239999999999999E-2</v>
      </c>
      <c r="Y308" s="13"/>
      <c r="Z308" s="14"/>
      <c r="AA308" s="13"/>
      <c r="AC308" s="13">
        <v>3</v>
      </c>
      <c r="AD308" s="13">
        <v>15</v>
      </c>
      <c r="AE308" s="13">
        <v>400</v>
      </c>
      <c r="AF308" s="13">
        <v>3</v>
      </c>
      <c r="AG308" s="14">
        <f t="shared" si="101"/>
        <v>5.3999999999999999E-2</v>
      </c>
      <c r="AH308" s="13">
        <f>SUM(AF308)</f>
        <v>3</v>
      </c>
      <c r="AI308" s="14">
        <f>SUM(AG308)</f>
        <v>5.3999999999999999E-2</v>
      </c>
      <c r="AJ308" s="13"/>
      <c r="AL308" s="4"/>
      <c r="AM308" s="4"/>
      <c r="AN308" s="30">
        <f>SUM(AN305:AN307)</f>
        <v>1565</v>
      </c>
      <c r="AO308" s="29">
        <f>SUM(AO305:AO307)</f>
        <v>34.698120000000003</v>
      </c>
      <c r="AP308" s="4"/>
      <c r="AQ308" s="4"/>
      <c r="AR308" s="4"/>
      <c r="AS308" s="4"/>
      <c r="AU308" s="13">
        <v>1.7</v>
      </c>
      <c r="AV308" s="13">
        <v>10</v>
      </c>
      <c r="AW308" s="13">
        <v>300</v>
      </c>
      <c r="AX308" s="13">
        <v>33</v>
      </c>
      <c r="AY308" s="14">
        <f t="shared" si="100"/>
        <v>0.16830000000000001</v>
      </c>
      <c r="AZ308" s="13"/>
      <c r="BA308" s="14"/>
      <c r="BB308" s="13"/>
      <c r="BD308" s="237" t="s">
        <v>52</v>
      </c>
      <c r="BE308" s="237"/>
      <c r="BF308" s="238"/>
      <c r="BG308" s="98">
        <f>SUM(BG253:BG307)</f>
        <v>362</v>
      </c>
      <c r="BH308" s="48">
        <f>SUM(BH253:BH307)</f>
        <v>12.011549999999998</v>
      </c>
      <c r="BI308" s="98">
        <f>SUM(BI253:BI307)</f>
        <v>362</v>
      </c>
      <c r="BJ308" s="48">
        <f>SUM(BJ253:BJ307)</f>
        <v>12.011549999999996</v>
      </c>
      <c r="BK308" s="104"/>
      <c r="BM308" s="13">
        <v>10</v>
      </c>
      <c r="BN308" s="13">
        <v>13</v>
      </c>
      <c r="BO308" s="13">
        <v>400</v>
      </c>
      <c r="BP308" s="13">
        <v>1</v>
      </c>
      <c r="BQ308" s="14">
        <f t="shared" si="110"/>
        <v>5.1999999999999998E-2</v>
      </c>
      <c r="BR308" s="13"/>
      <c r="BS308" s="14"/>
      <c r="BT308" s="13"/>
      <c r="BV308" s="13">
        <v>13</v>
      </c>
      <c r="BW308" s="13">
        <v>25</v>
      </c>
      <c r="BX308" s="13">
        <v>400</v>
      </c>
      <c r="BY308" s="13">
        <v>4</v>
      </c>
      <c r="BZ308" s="14">
        <f t="shared" si="109"/>
        <v>0.52</v>
      </c>
      <c r="CA308" s="13"/>
      <c r="CB308" s="14"/>
      <c r="CC308" s="13"/>
      <c r="CE308" s="13">
        <v>10</v>
      </c>
      <c r="CF308" s="13">
        <v>30</v>
      </c>
      <c r="CG308" s="13">
        <v>400</v>
      </c>
      <c r="CH308" s="13">
        <v>3</v>
      </c>
      <c r="CI308" s="14">
        <f t="shared" ref="CI308:CI368" si="111">CE308*CF308*CG308*CH308/1000000</f>
        <v>0.36</v>
      </c>
      <c r="CJ308" s="13"/>
      <c r="CK308" s="14"/>
      <c r="CL308" s="13"/>
      <c r="CN308" s="13">
        <v>10</v>
      </c>
      <c r="CO308" s="13">
        <v>15</v>
      </c>
      <c r="CP308" s="13">
        <v>400</v>
      </c>
      <c r="CQ308" s="13">
        <v>2</v>
      </c>
      <c r="CR308" s="14">
        <f t="shared" si="105"/>
        <v>0.12</v>
      </c>
      <c r="CS308" s="13"/>
      <c r="CT308" s="14"/>
      <c r="CU308" s="41"/>
    </row>
    <row r="309" spans="20:99" ht="15" customHeight="1" thickTop="1" x14ac:dyDescent="0.25">
      <c r="T309" s="13">
        <v>1.7</v>
      </c>
      <c r="U309" s="13">
        <v>13</v>
      </c>
      <c r="V309" s="13">
        <v>400</v>
      </c>
      <c r="W309" s="13">
        <v>2</v>
      </c>
      <c r="X309" s="14">
        <f t="shared" si="106"/>
        <v>1.7680000000000001E-2</v>
      </c>
      <c r="Y309" s="13"/>
      <c r="Z309" s="14"/>
      <c r="AA309" s="13"/>
      <c r="AC309" s="13">
        <v>2</v>
      </c>
      <c r="AD309" s="13">
        <v>15</v>
      </c>
      <c r="AE309" s="13">
        <v>400</v>
      </c>
      <c r="AF309" s="13">
        <v>3</v>
      </c>
      <c r="AG309" s="14">
        <f t="shared" si="101"/>
        <v>3.5999999999999997E-2</v>
      </c>
      <c r="AH309" s="13"/>
      <c r="AI309" s="14"/>
      <c r="AJ309" s="13"/>
      <c r="AP309" s="4"/>
      <c r="AQ309" s="8" t="s">
        <v>120</v>
      </c>
      <c r="AR309" s="4"/>
      <c r="AS309" s="4"/>
      <c r="AU309" s="13">
        <v>2.2000000000000002</v>
      </c>
      <c r="AV309" s="13">
        <v>20</v>
      </c>
      <c r="AW309" s="13">
        <v>300</v>
      </c>
      <c r="AX309" s="13">
        <v>1</v>
      </c>
      <c r="AY309" s="14">
        <f t="shared" si="100"/>
        <v>1.32E-2</v>
      </c>
      <c r="AZ309" s="13"/>
      <c r="BA309" s="14"/>
      <c r="BB309" s="13"/>
      <c r="BM309" s="13">
        <v>3.5</v>
      </c>
      <c r="BN309" s="13">
        <v>15</v>
      </c>
      <c r="BO309" s="13">
        <v>400</v>
      </c>
      <c r="BP309" s="13">
        <v>3</v>
      </c>
      <c r="BQ309" s="14">
        <f t="shared" si="110"/>
        <v>6.3E-2</v>
      </c>
      <c r="BR309" s="13"/>
      <c r="BS309" s="14"/>
      <c r="BT309" s="13"/>
      <c r="BV309" s="13">
        <v>10</v>
      </c>
      <c r="BW309" s="13">
        <v>25</v>
      </c>
      <c r="BX309" s="13">
        <v>400</v>
      </c>
      <c r="BY309" s="13">
        <v>4</v>
      </c>
      <c r="BZ309" s="14">
        <f t="shared" si="109"/>
        <v>0.4</v>
      </c>
      <c r="CA309" s="13"/>
      <c r="CB309" s="14"/>
      <c r="CC309" s="13"/>
      <c r="CE309" s="13">
        <v>15</v>
      </c>
      <c r="CF309" s="13">
        <v>25</v>
      </c>
      <c r="CG309" s="13">
        <v>400</v>
      </c>
      <c r="CH309" s="13">
        <v>2</v>
      </c>
      <c r="CI309" s="14">
        <f t="shared" si="111"/>
        <v>0.3</v>
      </c>
      <c r="CJ309" s="13"/>
      <c r="CK309" s="14"/>
      <c r="CL309" s="13"/>
      <c r="CN309" s="13">
        <v>7</v>
      </c>
      <c r="CO309" s="13">
        <v>15</v>
      </c>
      <c r="CP309" s="13">
        <v>400</v>
      </c>
      <c r="CQ309" s="13">
        <v>1</v>
      </c>
      <c r="CR309" s="14">
        <f t="shared" si="105"/>
        <v>4.2000000000000003E-2</v>
      </c>
      <c r="CS309" s="13"/>
      <c r="CT309" s="14"/>
      <c r="CU309" s="41"/>
    </row>
    <row r="310" spans="20:99" ht="15" customHeight="1" x14ac:dyDescent="0.25">
      <c r="T310" s="13">
        <v>1.7</v>
      </c>
      <c r="U310" s="13">
        <v>13</v>
      </c>
      <c r="V310" s="13">
        <v>400</v>
      </c>
      <c r="W310" s="13">
        <v>2</v>
      </c>
      <c r="X310" s="14">
        <f t="shared" si="106"/>
        <v>1.7680000000000001E-2</v>
      </c>
      <c r="Y310" s="13"/>
      <c r="Z310" s="14"/>
      <c r="AA310" s="13"/>
      <c r="AC310" s="13">
        <v>2</v>
      </c>
      <c r="AD310" s="13">
        <v>15</v>
      </c>
      <c r="AE310" s="13">
        <v>300</v>
      </c>
      <c r="AF310" s="13">
        <v>1</v>
      </c>
      <c r="AG310" s="14">
        <f t="shared" si="101"/>
        <v>8.9999999999999993E-3</v>
      </c>
      <c r="AH310" s="13"/>
      <c r="AI310" s="14"/>
      <c r="AJ310" s="13"/>
      <c r="AP310" s="4"/>
      <c r="AQ310" s="4" t="s">
        <v>118</v>
      </c>
      <c r="AR310" s="6">
        <f>SUM(AO301,AO236:AO237,)</f>
        <v>448</v>
      </c>
      <c r="AS310" s="7">
        <f>SUM(AP301,AP236:AP237,)</f>
        <v>4.3016000000000005</v>
      </c>
      <c r="AU310" s="13">
        <v>2.2000000000000002</v>
      </c>
      <c r="AV310" s="13">
        <v>15</v>
      </c>
      <c r="AW310" s="13">
        <v>250</v>
      </c>
      <c r="AX310" s="13">
        <v>7</v>
      </c>
      <c r="AY310" s="14">
        <f t="shared" ref="AY310:AY318" si="112">AU310*AV310*AW310*AX310/1000000</f>
        <v>5.7750000000000003E-2</v>
      </c>
      <c r="AZ310" s="13"/>
      <c r="BA310" s="14"/>
      <c r="BB310" s="13"/>
      <c r="BD310" s="231" t="s">
        <v>19</v>
      </c>
      <c r="BE310" s="231"/>
      <c r="BF310" s="231"/>
      <c r="BG310" s="231"/>
      <c r="BH310" s="231"/>
      <c r="BI310" s="231"/>
      <c r="BJ310" s="231"/>
      <c r="BK310" s="231"/>
      <c r="BM310" s="13">
        <v>7</v>
      </c>
      <c r="BN310" s="13">
        <v>20</v>
      </c>
      <c r="BO310" s="13">
        <v>400</v>
      </c>
      <c r="BP310" s="13">
        <v>1</v>
      </c>
      <c r="BQ310" s="14">
        <f t="shared" si="110"/>
        <v>5.6000000000000001E-2</v>
      </c>
      <c r="BR310" s="13"/>
      <c r="BS310" s="14"/>
      <c r="BT310" s="13"/>
      <c r="BV310" s="13">
        <v>13</v>
      </c>
      <c r="BW310" s="13">
        <v>30</v>
      </c>
      <c r="BX310" s="13">
        <v>400</v>
      </c>
      <c r="BY310" s="13">
        <v>3</v>
      </c>
      <c r="BZ310" s="14">
        <f t="shared" si="109"/>
        <v>0.46800000000000003</v>
      </c>
      <c r="CA310" s="13"/>
      <c r="CB310" s="14"/>
      <c r="CC310" s="13"/>
      <c r="CE310" s="13">
        <v>15</v>
      </c>
      <c r="CF310" s="13">
        <v>20</v>
      </c>
      <c r="CG310" s="13">
        <v>400</v>
      </c>
      <c r="CH310" s="13">
        <v>1</v>
      </c>
      <c r="CI310" s="14">
        <f t="shared" si="111"/>
        <v>0.12</v>
      </c>
      <c r="CJ310" s="13"/>
      <c r="CK310" s="14"/>
      <c r="CL310" s="13"/>
      <c r="CN310" s="13">
        <v>2.2000000000000002</v>
      </c>
      <c r="CO310" s="13">
        <v>15</v>
      </c>
      <c r="CP310" s="13">
        <v>400</v>
      </c>
      <c r="CQ310" s="13">
        <v>2</v>
      </c>
      <c r="CR310" s="14">
        <f t="shared" si="105"/>
        <v>2.64E-2</v>
      </c>
      <c r="CS310" s="37"/>
      <c r="CT310" s="36"/>
      <c r="CU310" s="41"/>
    </row>
    <row r="311" spans="20:99" ht="15" customHeight="1" x14ac:dyDescent="0.25">
      <c r="T311" s="13">
        <v>1.7</v>
      </c>
      <c r="U311" s="13">
        <v>10</v>
      </c>
      <c r="V311" s="13">
        <v>400</v>
      </c>
      <c r="W311" s="13">
        <v>53</v>
      </c>
      <c r="X311" s="14">
        <f t="shared" si="106"/>
        <v>0.3604</v>
      </c>
      <c r="Y311" s="13"/>
      <c r="Z311" s="14"/>
      <c r="AA311" s="13"/>
      <c r="AC311" s="13">
        <v>2</v>
      </c>
      <c r="AD311" s="13">
        <v>10</v>
      </c>
      <c r="AE311" s="13">
        <v>400</v>
      </c>
      <c r="AF311" s="13">
        <v>25</v>
      </c>
      <c r="AG311" s="14">
        <f t="shared" si="101"/>
        <v>0.2</v>
      </c>
      <c r="AH311" s="13"/>
      <c r="AI311" s="14"/>
      <c r="AJ311" s="13"/>
      <c r="AQ311" s="4" t="s">
        <v>119</v>
      </c>
      <c r="AR311" s="6">
        <f>SUM(AO283:AO300,AO205:AO235,AO204,AO124:AO168)</f>
        <v>544</v>
      </c>
      <c r="AS311" s="5">
        <f>SUM(AP283:AP300,AP204:AP235,AP124:AP168,)</f>
        <v>16.984119999999994</v>
      </c>
      <c r="AU311" s="13">
        <v>3.5</v>
      </c>
      <c r="AV311" s="13">
        <v>15</v>
      </c>
      <c r="AW311" s="13">
        <v>250</v>
      </c>
      <c r="AX311" s="13">
        <v>2</v>
      </c>
      <c r="AY311" s="14">
        <f t="shared" si="112"/>
        <v>2.6249999999999999E-2</v>
      </c>
      <c r="AZ311" s="13"/>
      <c r="BA311" s="14"/>
      <c r="BB311" s="13"/>
      <c r="BD311" s="231"/>
      <c r="BE311" s="231"/>
      <c r="BF311" s="231"/>
      <c r="BG311" s="231"/>
      <c r="BH311" s="231"/>
      <c r="BI311" s="231"/>
      <c r="BJ311" s="231"/>
      <c r="BK311" s="231"/>
      <c r="BM311" s="13">
        <v>13</v>
      </c>
      <c r="BN311" s="13">
        <v>20</v>
      </c>
      <c r="BO311" s="13">
        <v>400</v>
      </c>
      <c r="BP311" s="13">
        <v>1</v>
      </c>
      <c r="BQ311" s="14">
        <f t="shared" si="110"/>
        <v>0.104</v>
      </c>
      <c r="BR311" s="13"/>
      <c r="BS311" s="14"/>
      <c r="BT311" s="13"/>
      <c r="BV311" s="13">
        <v>4.5</v>
      </c>
      <c r="BW311" s="13">
        <v>30</v>
      </c>
      <c r="BX311" s="13">
        <v>400</v>
      </c>
      <c r="BY311" s="13">
        <v>2</v>
      </c>
      <c r="BZ311" s="14">
        <f t="shared" si="109"/>
        <v>0.108</v>
      </c>
      <c r="CA311" s="13"/>
      <c r="CB311" s="14"/>
      <c r="CC311" s="13"/>
      <c r="CE311" s="13">
        <v>10</v>
      </c>
      <c r="CF311" s="13">
        <v>20</v>
      </c>
      <c r="CG311" s="13">
        <v>400</v>
      </c>
      <c r="CH311" s="13">
        <v>6</v>
      </c>
      <c r="CI311" s="14">
        <f t="shared" si="111"/>
        <v>0.48</v>
      </c>
      <c r="CJ311" s="13"/>
      <c r="CK311" s="14"/>
      <c r="CL311" s="13"/>
      <c r="CN311" s="13">
        <v>8</v>
      </c>
      <c r="CO311" s="13">
        <v>13</v>
      </c>
      <c r="CP311" s="13">
        <v>400</v>
      </c>
      <c r="CQ311" s="13">
        <v>1</v>
      </c>
      <c r="CR311" s="14">
        <f t="shared" si="105"/>
        <v>4.1599999999999998E-2</v>
      </c>
      <c r="CS311" s="13"/>
      <c r="CT311" s="14"/>
      <c r="CU311" s="13"/>
    </row>
    <row r="312" spans="20:99" ht="15" customHeight="1" x14ac:dyDescent="0.25">
      <c r="T312" s="13">
        <v>1.7</v>
      </c>
      <c r="U312" s="13">
        <v>10</v>
      </c>
      <c r="V312" s="13">
        <v>250</v>
      </c>
      <c r="W312" s="13">
        <v>2</v>
      </c>
      <c r="X312" s="14">
        <f t="shared" si="106"/>
        <v>8.5000000000000006E-3</v>
      </c>
      <c r="Y312" s="13"/>
      <c r="Z312" s="14"/>
      <c r="AA312" s="13"/>
      <c r="AC312" s="13">
        <v>2</v>
      </c>
      <c r="AD312" s="13">
        <v>10</v>
      </c>
      <c r="AE312" s="13">
        <v>400</v>
      </c>
      <c r="AF312" s="13">
        <v>6</v>
      </c>
      <c r="AG312" s="14">
        <f t="shared" si="101"/>
        <v>4.8000000000000001E-2</v>
      </c>
      <c r="AH312" s="13"/>
      <c r="AI312" s="14"/>
      <c r="AJ312" s="13"/>
      <c r="AQ312" s="4" t="s">
        <v>148</v>
      </c>
      <c r="AR312" s="6">
        <f>SUM(AO279:AO282,AO247:AO274,AO178:AO203,AO112:AO121,AO111)</f>
        <v>348</v>
      </c>
      <c r="AS312" s="4">
        <f>SUM(AP279:AP282,AP247:AP274,AP178:AP203,AP112:AP121,AP111)</f>
        <v>12.380799999999992</v>
      </c>
      <c r="AU312" s="13">
        <v>2.2000000000000002</v>
      </c>
      <c r="AV312" s="13">
        <v>23</v>
      </c>
      <c r="AW312" s="13">
        <v>250</v>
      </c>
      <c r="AX312" s="13">
        <v>2</v>
      </c>
      <c r="AY312" s="14">
        <f t="shared" si="112"/>
        <v>2.53E-2</v>
      </c>
      <c r="AZ312" s="13"/>
      <c r="BA312" s="14"/>
      <c r="BB312" s="13"/>
      <c r="BD312" s="28" t="s">
        <v>18</v>
      </c>
      <c r="BE312" s="27" t="s">
        <v>113</v>
      </c>
      <c r="BF312" s="26"/>
      <c r="BG312" s="26"/>
      <c r="BH312" s="26"/>
      <c r="BI312" s="26"/>
      <c r="BJ312" s="26"/>
      <c r="BK312" s="26"/>
      <c r="BM312" s="13">
        <v>10</v>
      </c>
      <c r="BN312" s="13">
        <v>20</v>
      </c>
      <c r="BO312" s="13">
        <v>400</v>
      </c>
      <c r="BP312" s="13">
        <v>6</v>
      </c>
      <c r="BQ312" s="14">
        <f t="shared" si="110"/>
        <v>0.48</v>
      </c>
      <c r="BR312" s="13"/>
      <c r="BS312" s="14"/>
      <c r="BT312" s="41"/>
      <c r="BV312" s="13">
        <v>8</v>
      </c>
      <c r="BW312" s="13">
        <v>30</v>
      </c>
      <c r="BX312" s="13">
        <v>400</v>
      </c>
      <c r="BY312" s="13">
        <v>3</v>
      </c>
      <c r="BZ312" s="14">
        <f t="shared" si="109"/>
        <v>0.28799999999999998</v>
      </c>
      <c r="CA312" s="13"/>
      <c r="CB312" s="14"/>
      <c r="CC312" s="13"/>
      <c r="CE312" s="13">
        <v>10</v>
      </c>
      <c r="CF312" s="13">
        <v>15</v>
      </c>
      <c r="CG312" s="13">
        <v>400</v>
      </c>
      <c r="CH312" s="13">
        <v>15</v>
      </c>
      <c r="CI312" s="14">
        <f t="shared" si="111"/>
        <v>0.9</v>
      </c>
      <c r="CJ312" s="13"/>
      <c r="CK312" s="14"/>
      <c r="CL312" s="13"/>
      <c r="CN312" s="13">
        <v>4.5</v>
      </c>
      <c r="CO312" s="13">
        <v>13</v>
      </c>
      <c r="CP312" s="13">
        <v>400</v>
      </c>
      <c r="CQ312" s="13">
        <v>8</v>
      </c>
      <c r="CR312" s="14">
        <f t="shared" si="105"/>
        <v>0.18720000000000001</v>
      </c>
      <c r="CS312" s="13"/>
      <c r="CT312" s="14"/>
      <c r="CU312" s="13"/>
    </row>
    <row r="313" spans="20:99" ht="15" customHeight="1" x14ac:dyDescent="0.25">
      <c r="T313" s="13">
        <v>1.7</v>
      </c>
      <c r="U313" s="13">
        <v>10</v>
      </c>
      <c r="V313" s="13">
        <v>200</v>
      </c>
      <c r="W313" s="13">
        <v>2</v>
      </c>
      <c r="X313" s="14">
        <f t="shared" si="106"/>
        <v>6.7999999999999996E-3</v>
      </c>
      <c r="Y313" s="13">
        <f>SUM(W305:W313)</f>
        <v>71</v>
      </c>
      <c r="Z313" s="14">
        <f>SUM(X305:X313)</f>
        <v>0.56474000000000002</v>
      </c>
      <c r="AA313" s="13"/>
      <c r="AC313" s="13">
        <v>2</v>
      </c>
      <c r="AD313" s="13">
        <v>10</v>
      </c>
      <c r="AE313" s="13">
        <v>300</v>
      </c>
      <c r="AF313" s="13">
        <v>5</v>
      </c>
      <c r="AG313" s="14">
        <f t="shared" si="101"/>
        <v>0.03</v>
      </c>
      <c r="AH313" s="13"/>
      <c r="AI313" s="14"/>
      <c r="AJ313" s="13"/>
      <c r="AQ313" s="4" t="s">
        <v>149</v>
      </c>
      <c r="AR313" s="6">
        <f>SUM(AO275:AO278,AO122:AO123,)</f>
        <v>225</v>
      </c>
      <c r="AS313" s="7">
        <f>SUM(AP275:AP278,AP122:AP123,)</f>
        <v>1.0316000000000001</v>
      </c>
      <c r="AU313" s="13">
        <v>2.2000000000000002</v>
      </c>
      <c r="AV313" s="13">
        <v>30</v>
      </c>
      <c r="AW313" s="13">
        <v>250</v>
      </c>
      <c r="AX313" s="13">
        <v>1</v>
      </c>
      <c r="AY313" s="14">
        <f t="shared" si="112"/>
        <v>1.6500000000000001E-2</v>
      </c>
      <c r="AZ313" s="13"/>
      <c r="BA313" s="14"/>
      <c r="BB313" s="13"/>
      <c r="BD313" s="28" t="s">
        <v>16</v>
      </c>
      <c r="BE313" s="27" t="s">
        <v>114</v>
      </c>
      <c r="BF313" s="26"/>
      <c r="BG313" s="26"/>
      <c r="BH313" s="26"/>
      <c r="BI313" s="26"/>
      <c r="BJ313" s="26"/>
      <c r="BK313" s="26"/>
      <c r="BM313" s="13">
        <v>8</v>
      </c>
      <c r="BN313" s="13">
        <v>20</v>
      </c>
      <c r="BO313" s="13">
        <v>400</v>
      </c>
      <c r="BP313" s="13">
        <v>3</v>
      </c>
      <c r="BQ313" s="14">
        <f t="shared" si="110"/>
        <v>0.192</v>
      </c>
      <c r="BR313" s="13"/>
      <c r="BS313" s="14"/>
      <c r="BT313" s="13"/>
      <c r="BV313" s="13">
        <v>4.5</v>
      </c>
      <c r="BW313" s="13">
        <v>25</v>
      </c>
      <c r="BX313" s="13">
        <v>400</v>
      </c>
      <c r="BY313" s="13">
        <v>2</v>
      </c>
      <c r="BZ313" s="14">
        <f t="shared" si="109"/>
        <v>0.09</v>
      </c>
      <c r="CA313" s="13"/>
      <c r="CB313" s="14"/>
      <c r="CC313" s="13"/>
      <c r="CE313" s="13">
        <v>5</v>
      </c>
      <c r="CF313" s="13">
        <v>15</v>
      </c>
      <c r="CG313" s="13">
        <v>400</v>
      </c>
      <c r="CH313" s="13">
        <v>5</v>
      </c>
      <c r="CI313" s="14">
        <f t="shared" si="111"/>
        <v>0.15</v>
      </c>
      <c r="CJ313" s="13"/>
      <c r="CK313" s="14"/>
      <c r="CL313" s="41"/>
      <c r="CN313" s="13">
        <v>3.5</v>
      </c>
      <c r="CO313" s="13">
        <v>13</v>
      </c>
      <c r="CP313" s="13">
        <v>400</v>
      </c>
      <c r="CQ313" s="13">
        <v>3</v>
      </c>
      <c r="CR313" s="14">
        <f t="shared" si="105"/>
        <v>5.4600000000000003E-2</v>
      </c>
      <c r="CS313" s="13"/>
      <c r="CT313" s="14"/>
      <c r="CU313" s="13"/>
    </row>
    <row r="314" spans="20:99" ht="15" customHeight="1" thickBot="1" x14ac:dyDescent="0.3">
      <c r="T314" s="237"/>
      <c r="U314" s="237"/>
      <c r="V314" s="238"/>
      <c r="W314" s="17">
        <f>SUM(W254:W313)</f>
        <v>692</v>
      </c>
      <c r="X314" s="32">
        <f>SUM(X254:X313)</f>
        <v>12.116460000000002</v>
      </c>
      <c r="Y314" s="17">
        <f>SUM(Y254:Y313)</f>
        <v>692</v>
      </c>
      <c r="Z314" s="32">
        <f>SUM(Z254:Z313)</f>
        <v>12.11646</v>
      </c>
      <c r="AA314" s="17"/>
      <c r="AC314" s="13">
        <v>2</v>
      </c>
      <c r="AD314" s="13">
        <v>10</v>
      </c>
      <c r="AE314" s="13">
        <v>300</v>
      </c>
      <c r="AF314" s="13">
        <v>2</v>
      </c>
      <c r="AG314" s="14">
        <f t="shared" si="101"/>
        <v>1.2E-2</v>
      </c>
      <c r="AH314" s="13">
        <f>SUM(AF309:AF314)</f>
        <v>42</v>
      </c>
      <c r="AI314" s="14">
        <f>SUM(AG309:AG314)</f>
        <v>0.33499999999999996</v>
      </c>
      <c r="AJ314" s="13"/>
      <c r="AQ314" s="4"/>
      <c r="AR314" s="3">
        <f>SUM(AR309:AR313)</f>
        <v>1565</v>
      </c>
      <c r="AS314" s="153">
        <f>SUM(AS310:AS313)</f>
        <v>34.698119999999982</v>
      </c>
      <c r="AU314" s="13">
        <v>3.5</v>
      </c>
      <c r="AV314" s="13">
        <v>20</v>
      </c>
      <c r="AW314" s="13">
        <v>250</v>
      </c>
      <c r="AX314" s="13">
        <v>1</v>
      </c>
      <c r="AY314" s="14">
        <f t="shared" si="112"/>
        <v>1.7500000000000002E-2</v>
      </c>
      <c r="AZ314" s="13"/>
      <c r="BA314" s="14"/>
      <c r="BB314" s="13"/>
      <c r="BD314" s="43"/>
      <c r="BE314" s="25"/>
      <c r="BF314" s="25"/>
      <c r="BG314" s="25"/>
      <c r="BH314" s="25"/>
      <c r="BI314" s="225" t="s">
        <v>112</v>
      </c>
      <c r="BJ314" s="225"/>
      <c r="BK314" s="225"/>
      <c r="BM314" s="13">
        <v>15</v>
      </c>
      <c r="BN314" s="13">
        <v>20</v>
      </c>
      <c r="BO314" s="13">
        <v>400</v>
      </c>
      <c r="BP314" s="13">
        <v>5</v>
      </c>
      <c r="BQ314" s="14">
        <f t="shared" si="110"/>
        <v>0.6</v>
      </c>
      <c r="BR314" s="13"/>
      <c r="BS314" s="14"/>
      <c r="BT314" s="13"/>
      <c r="BV314" s="13">
        <v>2.2000000000000002</v>
      </c>
      <c r="BW314" s="13">
        <v>20</v>
      </c>
      <c r="BX314" s="13">
        <v>400</v>
      </c>
      <c r="BY314" s="13">
        <v>1</v>
      </c>
      <c r="BZ314" s="14">
        <f t="shared" si="109"/>
        <v>1.7600000000000001E-2</v>
      </c>
      <c r="CA314" s="13"/>
      <c r="CB314" s="14"/>
      <c r="CC314" s="13"/>
      <c r="CE314" s="13">
        <v>7</v>
      </c>
      <c r="CF314" s="13">
        <v>15</v>
      </c>
      <c r="CG314" s="13">
        <v>400</v>
      </c>
      <c r="CH314" s="13">
        <v>1</v>
      </c>
      <c r="CI314" s="14">
        <f t="shared" si="111"/>
        <v>4.2000000000000003E-2</v>
      </c>
      <c r="CJ314" s="13"/>
      <c r="CK314" s="14"/>
      <c r="CL314" s="41"/>
      <c r="CN314" s="13">
        <v>2.2000000000000002</v>
      </c>
      <c r="CO314" s="13">
        <v>13</v>
      </c>
      <c r="CP314" s="13">
        <v>400</v>
      </c>
      <c r="CQ314" s="13">
        <v>8</v>
      </c>
      <c r="CR314" s="14">
        <f t="shared" si="105"/>
        <v>9.1520000000000004E-2</v>
      </c>
      <c r="CS314" s="13"/>
      <c r="CT314" s="14"/>
      <c r="CU314" s="13"/>
    </row>
    <row r="315" spans="20:99" ht="15" customHeight="1" thickTop="1" thickBot="1" x14ac:dyDescent="0.3">
      <c r="AC315" s="237"/>
      <c r="AD315" s="237"/>
      <c r="AE315" s="238"/>
      <c r="AF315" s="17">
        <f>SUM(AF269:AF314)</f>
        <v>186</v>
      </c>
      <c r="AG315" s="32">
        <f>SUM(AG269:AG314)</f>
        <v>9.8051749999999984</v>
      </c>
      <c r="AH315" s="17">
        <f>SUM(AH269:AH314)</f>
        <v>186</v>
      </c>
      <c r="AI315" s="32">
        <f>SUM(AI269:AI314)</f>
        <v>9.805175000000002</v>
      </c>
      <c r="AJ315" s="46" t="s">
        <v>21</v>
      </c>
      <c r="AU315" s="13">
        <v>2.2000000000000002</v>
      </c>
      <c r="AV315" s="13">
        <v>13</v>
      </c>
      <c r="AW315" s="13">
        <v>250</v>
      </c>
      <c r="AX315" s="13">
        <v>8</v>
      </c>
      <c r="AY315" s="14">
        <f t="shared" si="112"/>
        <v>5.7200000000000001E-2</v>
      </c>
      <c r="AZ315" s="13"/>
      <c r="BA315" s="14"/>
      <c r="BB315" s="13"/>
      <c r="BD315" s="226" t="s">
        <v>13</v>
      </c>
      <c r="BE315" s="227"/>
      <c r="BF315" s="228"/>
      <c r="BG315" s="227" t="s">
        <v>12</v>
      </c>
      <c r="BH315" s="228"/>
      <c r="BI315" s="227" t="s">
        <v>12</v>
      </c>
      <c r="BJ315" s="228"/>
      <c r="BK315" s="229" t="s">
        <v>11</v>
      </c>
      <c r="BM315" s="13">
        <v>2.2000000000000002</v>
      </c>
      <c r="BN315" s="13">
        <v>20</v>
      </c>
      <c r="BO315" s="13">
        <v>400</v>
      </c>
      <c r="BP315" s="13">
        <v>2</v>
      </c>
      <c r="BQ315" s="14">
        <f t="shared" si="110"/>
        <v>3.5200000000000002E-2</v>
      </c>
      <c r="BR315" s="13"/>
      <c r="BS315" s="14"/>
      <c r="BT315" s="13"/>
      <c r="BV315" s="13">
        <v>3.5</v>
      </c>
      <c r="BW315" s="13">
        <v>20</v>
      </c>
      <c r="BX315" s="13">
        <v>400</v>
      </c>
      <c r="BY315" s="13">
        <v>1</v>
      </c>
      <c r="BZ315" s="14">
        <f t="shared" si="109"/>
        <v>2.8000000000000001E-2</v>
      </c>
      <c r="CA315" s="13"/>
      <c r="CB315" s="14"/>
      <c r="CC315" s="13"/>
      <c r="CE315" s="13">
        <v>3</v>
      </c>
      <c r="CF315" s="13">
        <v>15</v>
      </c>
      <c r="CG315" s="13">
        <v>400</v>
      </c>
      <c r="CH315" s="13">
        <v>7</v>
      </c>
      <c r="CI315" s="14">
        <f t="shared" si="111"/>
        <v>0.126</v>
      </c>
      <c r="CJ315" s="13"/>
      <c r="CK315" s="14"/>
      <c r="CL315" s="41"/>
      <c r="CN315" s="13">
        <v>4.5</v>
      </c>
      <c r="CO315" s="13">
        <v>10</v>
      </c>
      <c r="CP315" s="13">
        <v>400</v>
      </c>
      <c r="CQ315" s="13">
        <v>58</v>
      </c>
      <c r="CR315" s="14">
        <f t="shared" si="105"/>
        <v>1.044</v>
      </c>
      <c r="CS315" s="13"/>
      <c r="CT315" s="14"/>
      <c r="CU315" s="13"/>
    </row>
    <row r="316" spans="20:99" ht="15" customHeight="1" thickTop="1" x14ac:dyDescent="0.25">
      <c r="T316" s="8" t="s">
        <v>32</v>
      </c>
      <c r="Y316" s="8" t="s">
        <v>120</v>
      </c>
      <c r="Z316" s="4"/>
      <c r="AA316" s="4"/>
      <c r="AU316" s="13">
        <v>2.2000000000000002</v>
      </c>
      <c r="AV316" s="13">
        <v>10</v>
      </c>
      <c r="AW316" s="13">
        <v>250</v>
      </c>
      <c r="AX316" s="13">
        <v>28</v>
      </c>
      <c r="AY316" s="14">
        <f t="shared" si="112"/>
        <v>0.154</v>
      </c>
      <c r="AZ316" s="13"/>
      <c r="BA316" s="14"/>
      <c r="BB316" s="13"/>
      <c r="BD316" s="24" t="s">
        <v>10</v>
      </c>
      <c r="BE316" s="23" t="s">
        <v>9</v>
      </c>
      <c r="BF316" s="23" t="s">
        <v>8</v>
      </c>
      <c r="BG316" s="22" t="s">
        <v>7</v>
      </c>
      <c r="BH316" s="21" t="s">
        <v>6</v>
      </c>
      <c r="BI316" s="22" t="s">
        <v>7</v>
      </c>
      <c r="BJ316" s="21" t="s">
        <v>6</v>
      </c>
      <c r="BK316" s="230"/>
      <c r="BM316" s="13">
        <v>4.5</v>
      </c>
      <c r="BN316" s="13">
        <v>20</v>
      </c>
      <c r="BO316" s="13">
        <v>400</v>
      </c>
      <c r="BP316" s="13">
        <v>6</v>
      </c>
      <c r="BQ316" s="14">
        <f t="shared" si="110"/>
        <v>0.216</v>
      </c>
      <c r="BR316" s="13"/>
      <c r="BS316" s="14"/>
      <c r="BT316" s="13"/>
      <c r="BV316" s="13">
        <v>10</v>
      </c>
      <c r="BW316" s="13">
        <v>20</v>
      </c>
      <c r="BX316" s="13">
        <v>400</v>
      </c>
      <c r="BY316" s="13">
        <v>4</v>
      </c>
      <c r="BZ316" s="14">
        <f t="shared" si="109"/>
        <v>0.32</v>
      </c>
      <c r="CA316" s="13"/>
      <c r="CB316" s="14"/>
      <c r="CC316" s="13"/>
      <c r="CE316" s="13">
        <v>15</v>
      </c>
      <c r="CF316" s="13">
        <v>15</v>
      </c>
      <c r="CG316" s="13">
        <v>400</v>
      </c>
      <c r="CH316" s="13">
        <v>6</v>
      </c>
      <c r="CI316" s="14">
        <f t="shared" si="111"/>
        <v>0.54</v>
      </c>
      <c r="CJ316" s="13"/>
      <c r="CK316" s="14"/>
      <c r="CL316" s="41"/>
      <c r="CN316" s="13">
        <v>1.7</v>
      </c>
      <c r="CO316" s="13">
        <v>15</v>
      </c>
      <c r="CP316" s="13">
        <v>400</v>
      </c>
      <c r="CQ316" s="13">
        <v>3</v>
      </c>
      <c r="CR316" s="14">
        <f t="shared" si="105"/>
        <v>3.0599999999999999E-2</v>
      </c>
      <c r="CS316" s="13"/>
      <c r="CT316" s="14"/>
      <c r="CU316" s="13"/>
    </row>
    <row r="317" spans="20:99" ht="15" customHeight="1" x14ac:dyDescent="0.25">
      <c r="T317" s="4" t="s">
        <v>24</v>
      </c>
      <c r="U317" s="4"/>
      <c r="V317" s="6">
        <f>SUM(W201)</f>
        <v>240</v>
      </c>
      <c r="W317" s="4">
        <f>SUM(X201)</f>
        <v>12.798600000000006</v>
      </c>
      <c r="X317" s="4"/>
      <c r="Y317" s="4" t="s">
        <v>118</v>
      </c>
      <c r="Z317" s="6">
        <f>SUM(W296:W297,W237,W291)</f>
        <v>694</v>
      </c>
      <c r="AA317" s="7">
        <f>SUM(X296:X297,X237,X291)</f>
        <v>4.1619000000000002</v>
      </c>
      <c r="AC317" s="8" t="s">
        <v>37</v>
      </c>
      <c r="AH317" s="8" t="s">
        <v>120</v>
      </c>
      <c r="AI317" s="4"/>
      <c r="AJ317" s="4"/>
      <c r="AU317" s="13">
        <v>4.5</v>
      </c>
      <c r="AV317" s="13">
        <v>10</v>
      </c>
      <c r="AW317" s="13">
        <v>250</v>
      </c>
      <c r="AX317" s="13">
        <v>6</v>
      </c>
      <c r="AY317" s="14">
        <f t="shared" si="112"/>
        <v>6.7500000000000004E-2</v>
      </c>
      <c r="AZ317" s="13"/>
      <c r="BA317" s="14"/>
      <c r="BB317" s="13"/>
      <c r="BD317" s="13">
        <v>3</v>
      </c>
      <c r="BE317" s="13">
        <v>20</v>
      </c>
      <c r="BF317" s="13">
        <v>400</v>
      </c>
      <c r="BG317" s="13">
        <v>1</v>
      </c>
      <c r="BH317" s="14">
        <f t="shared" ref="BH317:BH380" si="113">BD317*BE317*BF317*BG317/1000000</f>
        <v>2.4E-2</v>
      </c>
      <c r="BI317" s="13"/>
      <c r="BJ317" s="14"/>
      <c r="BK317" s="13"/>
      <c r="BM317" s="13">
        <v>13</v>
      </c>
      <c r="BN317" s="13">
        <v>13</v>
      </c>
      <c r="BO317" s="13">
        <v>400</v>
      </c>
      <c r="BP317" s="13">
        <v>1</v>
      </c>
      <c r="BQ317" s="14">
        <f t="shared" si="110"/>
        <v>6.7599999999999993E-2</v>
      </c>
      <c r="BR317" s="13"/>
      <c r="BS317" s="14"/>
      <c r="BT317" s="41"/>
      <c r="BV317" s="13">
        <v>15</v>
      </c>
      <c r="BW317" s="13">
        <v>15</v>
      </c>
      <c r="BX317" s="13">
        <v>400</v>
      </c>
      <c r="BY317" s="13">
        <v>4</v>
      </c>
      <c r="BZ317" s="14">
        <f t="shared" si="109"/>
        <v>0.36</v>
      </c>
      <c r="CA317" s="13"/>
      <c r="CB317" s="14"/>
      <c r="CC317" s="13"/>
      <c r="CE317" s="13">
        <v>10</v>
      </c>
      <c r="CF317" s="13">
        <v>10</v>
      </c>
      <c r="CG317" s="13">
        <v>400</v>
      </c>
      <c r="CH317" s="13">
        <v>3</v>
      </c>
      <c r="CI317" s="14">
        <f t="shared" si="111"/>
        <v>0.12</v>
      </c>
      <c r="CJ317" s="13"/>
      <c r="CK317" s="14"/>
      <c r="CL317" s="41"/>
      <c r="CN317" s="13">
        <v>7</v>
      </c>
      <c r="CO317" s="13">
        <v>13</v>
      </c>
      <c r="CP317" s="13">
        <v>400</v>
      </c>
      <c r="CQ317" s="13">
        <v>1</v>
      </c>
      <c r="CR317" s="14">
        <f t="shared" si="105"/>
        <v>3.6400000000000002E-2</v>
      </c>
      <c r="CS317" s="13"/>
      <c r="CT317" s="14"/>
      <c r="CU317" s="13"/>
    </row>
    <row r="318" spans="20:99" ht="15" customHeight="1" x14ac:dyDescent="0.25">
      <c r="T318" s="4" t="s">
        <v>22</v>
      </c>
      <c r="U318" s="4"/>
      <c r="V318" s="6">
        <f>SUM(W245)</f>
        <v>825</v>
      </c>
      <c r="W318" s="40">
        <f>SUM(X245)</f>
        <v>12.237759999999998</v>
      </c>
      <c r="X318" s="4"/>
      <c r="Y318" s="4" t="s">
        <v>119</v>
      </c>
      <c r="Z318" s="6">
        <f>SUM(W298:W313,W292:W295,W254:W290,W238:W244,W210:W236,W162:W200,)</f>
        <v>1063</v>
      </c>
      <c r="AA318" s="5">
        <f>SUM(X298:X313,X292:X295,X254:X290,X238:X244,X210:X236,X162:X200,)</f>
        <v>32.990919999999996</v>
      </c>
      <c r="AC318" s="4" t="s">
        <v>24</v>
      </c>
      <c r="AD318" s="4"/>
      <c r="AE318" s="6">
        <f>SUM(AF210)</f>
        <v>429</v>
      </c>
      <c r="AF318" s="5">
        <f>SUM(AG210)</f>
        <v>10.613249999999999</v>
      </c>
      <c r="AH318" s="4" t="s">
        <v>118</v>
      </c>
      <c r="AI318" s="6">
        <f>SUM(AF209)</f>
        <v>180</v>
      </c>
      <c r="AJ318" s="5">
        <f>SUM(AG209)</f>
        <v>1.728</v>
      </c>
      <c r="AU318" s="13">
        <v>3.5</v>
      </c>
      <c r="AV318" s="13">
        <v>10</v>
      </c>
      <c r="AW318" s="13">
        <v>250</v>
      </c>
      <c r="AX318" s="13">
        <v>1</v>
      </c>
      <c r="AY318" s="14">
        <f t="shared" si="112"/>
        <v>8.7500000000000008E-3</v>
      </c>
      <c r="AZ318" s="13"/>
      <c r="BA318" s="14"/>
      <c r="BB318" s="13"/>
      <c r="BD318" s="13">
        <v>8</v>
      </c>
      <c r="BE318" s="13">
        <v>20</v>
      </c>
      <c r="BF318" s="13">
        <v>400</v>
      </c>
      <c r="BG318" s="13">
        <v>1</v>
      </c>
      <c r="BH318" s="14">
        <f t="shared" si="113"/>
        <v>6.4000000000000001E-2</v>
      </c>
      <c r="BI318" s="13"/>
      <c r="BJ318" s="14"/>
      <c r="BK318" s="13"/>
      <c r="BM318" s="13">
        <v>10</v>
      </c>
      <c r="BN318" s="13">
        <v>20</v>
      </c>
      <c r="BO318" s="13">
        <v>400</v>
      </c>
      <c r="BP318" s="13">
        <v>1</v>
      </c>
      <c r="BQ318" s="14">
        <f t="shared" si="110"/>
        <v>0.08</v>
      </c>
      <c r="BR318" s="13"/>
      <c r="BS318" s="14"/>
      <c r="BT318" s="13"/>
      <c r="BV318" s="13">
        <v>7</v>
      </c>
      <c r="BW318" s="13">
        <v>15</v>
      </c>
      <c r="BX318" s="13">
        <v>400</v>
      </c>
      <c r="BY318" s="13">
        <v>3</v>
      </c>
      <c r="BZ318" s="14">
        <f t="shared" si="109"/>
        <v>0.126</v>
      </c>
      <c r="CA318" s="13"/>
      <c r="CB318" s="14"/>
      <c r="CC318" s="13"/>
      <c r="CE318" s="13">
        <v>7</v>
      </c>
      <c r="CF318" s="13">
        <v>10</v>
      </c>
      <c r="CG318" s="13">
        <v>400</v>
      </c>
      <c r="CH318" s="13">
        <v>2</v>
      </c>
      <c r="CI318" s="14">
        <f t="shared" si="111"/>
        <v>5.6000000000000001E-2</v>
      </c>
      <c r="CJ318" s="13"/>
      <c r="CK318" s="14"/>
      <c r="CL318" s="41"/>
      <c r="CN318" s="13">
        <v>1.7</v>
      </c>
      <c r="CO318" s="13">
        <v>13</v>
      </c>
      <c r="CP318" s="13">
        <v>400</v>
      </c>
      <c r="CQ318" s="13">
        <v>1</v>
      </c>
      <c r="CR318" s="14">
        <f t="shared" si="105"/>
        <v>8.8400000000000006E-3</v>
      </c>
      <c r="CS318" s="13"/>
      <c r="CT318" s="14"/>
      <c r="CU318" s="13"/>
    </row>
    <row r="319" spans="20:99" ht="15" customHeight="1" thickBot="1" x14ac:dyDescent="0.3">
      <c r="T319" s="4" t="s">
        <v>20</v>
      </c>
      <c r="U319" s="4"/>
      <c r="V319" s="6">
        <f>SUM(W314)</f>
        <v>692</v>
      </c>
      <c r="W319" s="40">
        <f>SUM(X314)</f>
        <v>12.116460000000002</v>
      </c>
      <c r="X319" s="4"/>
      <c r="Y319" s="4"/>
      <c r="Z319" s="3">
        <f>SUM(Z317:Z318)</f>
        <v>1757</v>
      </c>
      <c r="AA319" s="153">
        <f>SUM(AA317:AA318)</f>
        <v>37.152819999999998</v>
      </c>
      <c r="AC319" s="4" t="s">
        <v>22</v>
      </c>
      <c r="AD319" s="4"/>
      <c r="AE319" s="6">
        <f>SUM(AF262)</f>
        <v>189</v>
      </c>
      <c r="AF319" s="5">
        <f>SUM(AG262)</f>
        <v>9.5303000000000004</v>
      </c>
      <c r="AG319" s="71"/>
      <c r="AH319" s="4" t="s">
        <v>148</v>
      </c>
      <c r="AI319" s="6">
        <f>SUM(AF302:AF314,AF269:AF300,AF221:AF261,AF208,AF183:AF206,)</f>
        <v>597</v>
      </c>
      <c r="AJ319" s="5">
        <f>SUM(AG302:AG314,AG269:AG300,AG221:AG261,AG208,AG183:AG206,)</f>
        <v>28.139725000000013</v>
      </c>
      <c r="AU319" s="13">
        <v>4.5</v>
      </c>
      <c r="AV319" s="13">
        <v>10</v>
      </c>
      <c r="AW319" s="13">
        <v>200</v>
      </c>
      <c r="AX319" s="13">
        <v>7</v>
      </c>
      <c r="AY319" s="14">
        <f>AU319*AV319*AW319*AX319/1000000</f>
        <v>6.3E-2</v>
      </c>
      <c r="AZ319" s="13">
        <f>SUM(AX263:AX319)</f>
        <v>430</v>
      </c>
      <c r="BA319" s="47">
        <f>SUM(AY263:AY319)</f>
        <v>11.349269999999999</v>
      </c>
      <c r="BB319" s="41" t="s">
        <v>23</v>
      </c>
      <c r="BD319" s="13">
        <v>10</v>
      </c>
      <c r="BE319" s="13">
        <v>20</v>
      </c>
      <c r="BF319" s="13">
        <v>400</v>
      </c>
      <c r="BG319" s="13">
        <v>1</v>
      </c>
      <c r="BH319" s="14">
        <f t="shared" si="113"/>
        <v>0.08</v>
      </c>
      <c r="BI319" s="13"/>
      <c r="BJ319" s="14"/>
      <c r="BK319" s="13"/>
      <c r="BM319" s="13">
        <v>1.7</v>
      </c>
      <c r="BN319" s="13">
        <v>20</v>
      </c>
      <c r="BO319" s="13">
        <v>400</v>
      </c>
      <c r="BP319" s="13">
        <v>1</v>
      </c>
      <c r="BQ319" s="14">
        <f t="shared" si="110"/>
        <v>1.3599999999999999E-2</v>
      </c>
      <c r="BR319" s="13"/>
      <c r="BS319" s="14"/>
      <c r="BT319" s="13"/>
      <c r="BV319" s="13">
        <v>4.5</v>
      </c>
      <c r="BW319" s="13">
        <v>15</v>
      </c>
      <c r="BX319" s="13">
        <v>400</v>
      </c>
      <c r="BY319" s="13">
        <v>10</v>
      </c>
      <c r="BZ319" s="14">
        <f t="shared" si="109"/>
        <v>0.27</v>
      </c>
      <c r="CA319" s="13"/>
      <c r="CB319" s="14"/>
      <c r="CC319" s="13"/>
      <c r="CE319" s="13">
        <v>4.5</v>
      </c>
      <c r="CF319" s="13">
        <v>10</v>
      </c>
      <c r="CG319" s="13">
        <v>400</v>
      </c>
      <c r="CH319" s="13">
        <v>23</v>
      </c>
      <c r="CI319" s="14">
        <f t="shared" si="111"/>
        <v>0.41399999999999998</v>
      </c>
      <c r="CJ319" s="13"/>
      <c r="CK319" s="14"/>
      <c r="CL319" s="41"/>
      <c r="CN319" s="13">
        <v>3.5</v>
      </c>
      <c r="CO319" s="13">
        <v>10</v>
      </c>
      <c r="CP319" s="13">
        <v>400</v>
      </c>
      <c r="CQ319" s="13">
        <v>12</v>
      </c>
      <c r="CR319" s="14">
        <f t="shared" si="105"/>
        <v>0.16800000000000001</v>
      </c>
      <c r="CS319" s="13"/>
      <c r="CT319" s="14"/>
      <c r="CU319" s="13"/>
    </row>
    <row r="320" spans="20:99" ht="15" customHeight="1" thickTop="1" thickBot="1" x14ac:dyDescent="0.3">
      <c r="T320" s="4"/>
      <c r="U320" s="4"/>
      <c r="V320" s="30">
        <f>SUM(V317:V319)</f>
        <v>1757</v>
      </c>
      <c r="W320" s="39">
        <f>SUM(W317:W319)</f>
        <v>37.152820000000006</v>
      </c>
      <c r="X320" s="4"/>
      <c r="Y320" s="4"/>
      <c r="Z320" s="4"/>
      <c r="AA320" s="4"/>
      <c r="AC320" s="4" t="s">
        <v>20</v>
      </c>
      <c r="AD320" s="4"/>
      <c r="AE320" s="6">
        <f>SUM(AF315)</f>
        <v>186</v>
      </c>
      <c r="AF320" s="5">
        <f>SUM(AG315)</f>
        <v>9.8051749999999984</v>
      </c>
      <c r="AH320" s="4" t="s">
        <v>149</v>
      </c>
      <c r="AI320" s="6">
        <f>SUM(AF301,AF207,)</f>
        <v>27</v>
      </c>
      <c r="AJ320" s="5">
        <f>SUM(AG301,AG207,)</f>
        <v>8.1000000000000003E-2</v>
      </c>
      <c r="AU320" s="237"/>
      <c r="AV320" s="237"/>
      <c r="AW320" s="238"/>
      <c r="AX320" s="17">
        <f>SUM(AX248:AX319)</f>
        <v>488</v>
      </c>
      <c r="AY320" s="32">
        <f>SUM(AY248:AY319)</f>
        <v>11.79477</v>
      </c>
      <c r="AZ320" s="17">
        <f>SUM(AZ248:AZ319)</f>
        <v>488</v>
      </c>
      <c r="BA320" s="32">
        <f>SUM(BA248:BA319)</f>
        <v>11.794769999999998</v>
      </c>
      <c r="BB320" s="17"/>
      <c r="BD320" s="13">
        <v>12</v>
      </c>
      <c r="BE320" s="13">
        <v>15</v>
      </c>
      <c r="BF320" s="13">
        <v>400</v>
      </c>
      <c r="BG320" s="13">
        <v>1</v>
      </c>
      <c r="BH320" s="14">
        <f t="shared" si="113"/>
        <v>7.1999999999999995E-2</v>
      </c>
      <c r="BI320" s="13"/>
      <c r="BJ320" s="14"/>
      <c r="BK320" s="13"/>
      <c r="BM320" s="13">
        <v>3.5</v>
      </c>
      <c r="BN320" s="13">
        <v>20</v>
      </c>
      <c r="BO320" s="13">
        <v>400</v>
      </c>
      <c r="BP320" s="13">
        <v>1</v>
      </c>
      <c r="BQ320" s="14">
        <f t="shared" si="110"/>
        <v>2.8000000000000001E-2</v>
      </c>
      <c r="BR320" s="13"/>
      <c r="BS320" s="14"/>
      <c r="BT320" s="13"/>
      <c r="BV320" s="13">
        <v>3.5</v>
      </c>
      <c r="BW320" s="13">
        <v>15</v>
      </c>
      <c r="BX320" s="13">
        <v>400</v>
      </c>
      <c r="BY320" s="13">
        <v>4</v>
      </c>
      <c r="BZ320" s="14">
        <f t="shared" si="109"/>
        <v>8.4000000000000005E-2</v>
      </c>
      <c r="CA320" s="13"/>
      <c r="CB320" s="14"/>
      <c r="CC320" s="13"/>
      <c r="CE320" s="13">
        <v>2</v>
      </c>
      <c r="CF320" s="13">
        <v>10</v>
      </c>
      <c r="CG320" s="13">
        <v>400</v>
      </c>
      <c r="CH320" s="13">
        <v>19</v>
      </c>
      <c r="CI320" s="14">
        <f t="shared" si="111"/>
        <v>0.152</v>
      </c>
      <c r="CJ320" s="13"/>
      <c r="CK320" s="14"/>
      <c r="CL320" s="41"/>
      <c r="CN320" s="13">
        <v>2.2000000000000002</v>
      </c>
      <c r="CO320" s="13">
        <v>10</v>
      </c>
      <c r="CP320" s="13">
        <v>400</v>
      </c>
      <c r="CQ320" s="13">
        <v>41</v>
      </c>
      <c r="CR320" s="14">
        <f t="shared" si="105"/>
        <v>0.36080000000000001</v>
      </c>
      <c r="CS320" s="13"/>
      <c r="CT320" s="14"/>
      <c r="CU320" s="13"/>
    </row>
    <row r="321" spans="20:99" ht="15" customHeight="1" thickTop="1" thickBot="1" x14ac:dyDescent="0.3">
      <c r="T321" s="4"/>
      <c r="U321" s="4"/>
      <c r="V321" s="4"/>
      <c r="W321" s="4"/>
      <c r="X321" s="4"/>
      <c r="Y321" s="4"/>
      <c r="Z321" s="4"/>
      <c r="AA321" s="4"/>
      <c r="AC321" s="4"/>
      <c r="AD321" s="4"/>
      <c r="AE321" s="30">
        <f>SUM(AE318:AE320)</f>
        <v>804</v>
      </c>
      <c r="AF321" s="31">
        <f>SUM(AF318:AF320)</f>
        <v>29.948724999999996</v>
      </c>
      <c r="AH321" s="4"/>
      <c r="AI321" s="3">
        <f>SUM(AI318:AI320)</f>
        <v>804</v>
      </c>
      <c r="AJ321" s="153">
        <f>SUM(AJ318:AJ320)</f>
        <v>29.948725000000014</v>
      </c>
      <c r="BD321" s="13">
        <v>7</v>
      </c>
      <c r="BE321" s="13">
        <v>15</v>
      </c>
      <c r="BF321" s="13">
        <v>400</v>
      </c>
      <c r="BG321" s="13">
        <v>1</v>
      </c>
      <c r="BH321" s="14">
        <f t="shared" si="113"/>
        <v>4.2000000000000003E-2</v>
      </c>
      <c r="BI321" s="13"/>
      <c r="BJ321" s="14"/>
      <c r="BK321" s="13"/>
      <c r="BM321" s="13">
        <v>7</v>
      </c>
      <c r="BN321" s="13">
        <v>10</v>
      </c>
      <c r="BO321" s="13">
        <v>400</v>
      </c>
      <c r="BP321" s="13">
        <v>3</v>
      </c>
      <c r="BQ321" s="14">
        <f t="shared" si="110"/>
        <v>8.4000000000000005E-2</v>
      </c>
      <c r="BR321" s="13"/>
      <c r="BS321" s="14"/>
      <c r="BT321" s="13"/>
      <c r="BV321" s="13">
        <v>13</v>
      </c>
      <c r="BW321" s="13">
        <v>15</v>
      </c>
      <c r="BX321" s="13">
        <v>400</v>
      </c>
      <c r="BY321" s="13">
        <v>3</v>
      </c>
      <c r="BZ321" s="14">
        <f t="shared" si="109"/>
        <v>0.23400000000000001</v>
      </c>
      <c r="CA321" s="13"/>
      <c r="CB321" s="14"/>
      <c r="CC321" s="13"/>
      <c r="CE321" s="13">
        <v>3</v>
      </c>
      <c r="CF321" s="13">
        <v>10</v>
      </c>
      <c r="CG321" s="13">
        <v>400</v>
      </c>
      <c r="CH321" s="13">
        <v>3</v>
      </c>
      <c r="CI321" s="14">
        <f t="shared" si="111"/>
        <v>3.5999999999999997E-2</v>
      </c>
      <c r="CJ321" s="13"/>
      <c r="CK321" s="14"/>
      <c r="CL321" s="41"/>
      <c r="CN321" s="13">
        <v>1.7</v>
      </c>
      <c r="CO321" s="13">
        <v>10</v>
      </c>
      <c r="CP321" s="13">
        <v>400</v>
      </c>
      <c r="CQ321" s="13">
        <v>4</v>
      </c>
      <c r="CR321" s="14">
        <f t="shared" si="105"/>
        <v>2.7199999999999998E-2</v>
      </c>
      <c r="CS321" s="13"/>
      <c r="CT321" s="14"/>
      <c r="CU321" s="13"/>
    </row>
    <row r="322" spans="20:99" ht="15" customHeight="1" thickTop="1" x14ac:dyDescent="0.25">
      <c r="AU322" s="231" t="s">
        <v>19</v>
      </c>
      <c r="AV322" s="231"/>
      <c r="AW322" s="231"/>
      <c r="AX322" s="231"/>
      <c r="AY322" s="231"/>
      <c r="AZ322" s="231"/>
      <c r="BA322" s="231"/>
      <c r="BB322" s="231"/>
      <c r="BD322" s="13">
        <v>4.5</v>
      </c>
      <c r="BE322" s="13">
        <v>12</v>
      </c>
      <c r="BF322" s="13">
        <v>400</v>
      </c>
      <c r="BG322" s="13">
        <v>1</v>
      </c>
      <c r="BH322" s="14">
        <f t="shared" si="113"/>
        <v>2.1600000000000001E-2</v>
      </c>
      <c r="BI322" s="13"/>
      <c r="BJ322" s="14"/>
      <c r="BK322" s="41"/>
      <c r="BM322" s="13">
        <v>8</v>
      </c>
      <c r="BN322" s="13">
        <v>10</v>
      </c>
      <c r="BO322" s="13">
        <v>400</v>
      </c>
      <c r="BP322" s="13">
        <v>4</v>
      </c>
      <c r="BQ322" s="14">
        <f t="shared" si="110"/>
        <v>0.128</v>
      </c>
      <c r="BR322" s="13"/>
      <c r="BS322" s="14"/>
      <c r="BT322" s="41"/>
      <c r="BV322" s="13">
        <v>10</v>
      </c>
      <c r="BW322" s="13">
        <v>15</v>
      </c>
      <c r="BX322" s="13">
        <v>400</v>
      </c>
      <c r="BY322" s="13">
        <v>3</v>
      </c>
      <c r="BZ322" s="14">
        <f t="shared" si="109"/>
        <v>0.18</v>
      </c>
      <c r="CA322" s="13"/>
      <c r="CB322" s="14"/>
      <c r="CC322" s="13"/>
      <c r="CE322" s="13">
        <v>6</v>
      </c>
      <c r="CF322" s="13">
        <v>10</v>
      </c>
      <c r="CG322" s="13">
        <v>400</v>
      </c>
      <c r="CH322" s="13">
        <v>3</v>
      </c>
      <c r="CI322" s="14">
        <f t="shared" si="111"/>
        <v>7.1999999999999995E-2</v>
      </c>
      <c r="CJ322" s="13"/>
      <c r="CK322" s="14"/>
      <c r="CL322" s="41"/>
      <c r="CN322" s="13">
        <v>7</v>
      </c>
      <c r="CO322" s="13">
        <v>10</v>
      </c>
      <c r="CP322" s="13">
        <v>400</v>
      </c>
      <c r="CQ322" s="13">
        <v>5</v>
      </c>
      <c r="CR322" s="14">
        <f t="shared" si="105"/>
        <v>0.14000000000000001</v>
      </c>
      <c r="CS322" s="13"/>
      <c r="CT322" s="14"/>
      <c r="CU322" s="13"/>
    </row>
    <row r="323" spans="20:99" ht="15" customHeight="1" x14ac:dyDescent="0.25">
      <c r="AU323" s="231"/>
      <c r="AV323" s="231"/>
      <c r="AW323" s="231"/>
      <c r="AX323" s="231"/>
      <c r="AY323" s="231"/>
      <c r="AZ323" s="231"/>
      <c r="BA323" s="231"/>
      <c r="BB323" s="231"/>
      <c r="BD323" s="13">
        <v>2</v>
      </c>
      <c r="BE323" s="13">
        <v>12</v>
      </c>
      <c r="BF323" s="13">
        <v>400</v>
      </c>
      <c r="BG323" s="13">
        <v>1</v>
      </c>
      <c r="BH323" s="14">
        <f t="shared" si="113"/>
        <v>9.5999999999999992E-3</v>
      </c>
      <c r="BI323" s="13"/>
      <c r="BJ323" s="14"/>
      <c r="BK323" s="13"/>
      <c r="BM323" s="13">
        <v>1.7</v>
      </c>
      <c r="BN323" s="13">
        <v>10</v>
      </c>
      <c r="BO323" s="13">
        <v>400</v>
      </c>
      <c r="BP323" s="13">
        <v>2</v>
      </c>
      <c r="BQ323" s="14">
        <f t="shared" si="110"/>
        <v>1.3599999999999999E-2</v>
      </c>
      <c r="BR323" s="13"/>
      <c r="BS323" s="14"/>
      <c r="BT323" s="13"/>
      <c r="BV323" s="13">
        <v>2.2000000000000002</v>
      </c>
      <c r="BW323" s="13">
        <v>15</v>
      </c>
      <c r="BX323" s="13">
        <v>400</v>
      </c>
      <c r="BY323" s="13">
        <v>8</v>
      </c>
      <c r="BZ323" s="14">
        <f t="shared" si="109"/>
        <v>0.1056</v>
      </c>
      <c r="CA323" s="13"/>
      <c r="CB323" s="14"/>
      <c r="CC323" s="13"/>
      <c r="CE323" s="57">
        <v>5</v>
      </c>
      <c r="CF323" s="57">
        <v>7</v>
      </c>
      <c r="CG323" s="57">
        <v>400</v>
      </c>
      <c r="CH323" s="57">
        <v>4</v>
      </c>
      <c r="CI323" s="56">
        <f t="shared" si="111"/>
        <v>5.6000000000000001E-2</v>
      </c>
      <c r="CJ323" s="57"/>
      <c r="CK323" s="56"/>
      <c r="CL323" s="140"/>
      <c r="CN323" s="13">
        <v>10</v>
      </c>
      <c r="CO323" s="13">
        <v>10</v>
      </c>
      <c r="CP323" s="13">
        <v>400</v>
      </c>
      <c r="CQ323" s="13">
        <v>2</v>
      </c>
      <c r="CR323" s="14">
        <f t="shared" si="105"/>
        <v>0.08</v>
      </c>
      <c r="CS323" s="13"/>
      <c r="CT323" s="14"/>
      <c r="CU323" s="13"/>
    </row>
    <row r="324" spans="20:99" ht="15" customHeight="1" x14ac:dyDescent="0.25">
      <c r="AU324" s="28" t="s">
        <v>18</v>
      </c>
      <c r="AV324" s="27" t="s">
        <v>97</v>
      </c>
      <c r="AW324" s="26"/>
      <c r="AX324" s="26"/>
      <c r="AY324" s="26"/>
      <c r="AZ324" s="26"/>
      <c r="BA324" s="26"/>
      <c r="BB324" s="26"/>
      <c r="BD324" s="13">
        <v>6</v>
      </c>
      <c r="BE324" s="13">
        <v>10</v>
      </c>
      <c r="BF324" s="13">
        <v>400</v>
      </c>
      <c r="BG324" s="13">
        <v>3</v>
      </c>
      <c r="BH324" s="14">
        <f t="shared" si="113"/>
        <v>7.1999999999999995E-2</v>
      </c>
      <c r="BI324" s="13"/>
      <c r="BJ324" s="14"/>
      <c r="BK324" s="13"/>
      <c r="BM324" s="13">
        <v>15</v>
      </c>
      <c r="BN324" s="13">
        <v>30</v>
      </c>
      <c r="BO324" s="13">
        <v>400</v>
      </c>
      <c r="BP324" s="13">
        <v>7</v>
      </c>
      <c r="BQ324" s="14">
        <f t="shared" si="110"/>
        <v>1.26</v>
      </c>
      <c r="BR324" s="13"/>
      <c r="BS324" s="14"/>
      <c r="BT324" s="13"/>
      <c r="BV324" s="13">
        <v>2.2000000000000002</v>
      </c>
      <c r="BW324" s="13">
        <v>13</v>
      </c>
      <c r="BX324" s="13">
        <v>400</v>
      </c>
      <c r="BY324" s="13">
        <v>9</v>
      </c>
      <c r="BZ324" s="14">
        <f t="shared" si="109"/>
        <v>0.10296</v>
      </c>
      <c r="CA324" s="13"/>
      <c r="CB324" s="14"/>
      <c r="CC324" s="13"/>
      <c r="CE324" s="57">
        <v>2</v>
      </c>
      <c r="CF324" s="57">
        <v>3</v>
      </c>
      <c r="CG324" s="57">
        <v>400</v>
      </c>
      <c r="CH324" s="57">
        <v>25</v>
      </c>
      <c r="CI324" s="56">
        <f t="shared" si="111"/>
        <v>0.06</v>
      </c>
      <c r="CJ324" s="57"/>
      <c r="CK324" s="56"/>
      <c r="CL324" s="140"/>
      <c r="CN324" s="61">
        <v>3.5</v>
      </c>
      <c r="CO324" s="61">
        <v>25</v>
      </c>
      <c r="CP324" s="13">
        <v>400</v>
      </c>
      <c r="CQ324" s="13">
        <v>1</v>
      </c>
      <c r="CR324" s="14">
        <f>CN324*CO324*CP324*CQ324/1000000</f>
        <v>3.5000000000000003E-2</v>
      </c>
      <c r="CS324" s="61">
        <f>SUM(CQ282:CQ324)</f>
        <v>240</v>
      </c>
      <c r="CT324" s="193">
        <f>SUM(CR282:CR324)</f>
        <v>8.4085600000000014</v>
      </c>
      <c r="CU324" s="61"/>
    </row>
    <row r="325" spans="20:99" ht="15" customHeight="1" x14ac:dyDescent="0.25">
      <c r="AU325" s="28" t="s">
        <v>16</v>
      </c>
      <c r="AV325" s="27" t="s">
        <v>98</v>
      </c>
      <c r="AW325" s="26"/>
      <c r="AX325" s="26"/>
      <c r="AY325" s="26"/>
      <c r="AZ325" s="26"/>
      <c r="BA325" s="26"/>
      <c r="BB325" s="26"/>
      <c r="BD325" s="13">
        <v>4.5</v>
      </c>
      <c r="BE325" s="13">
        <v>10</v>
      </c>
      <c r="BF325" s="13">
        <v>400</v>
      </c>
      <c r="BG325" s="13">
        <v>5</v>
      </c>
      <c r="BH325" s="14">
        <f t="shared" si="113"/>
        <v>0.09</v>
      </c>
      <c r="BI325" s="13"/>
      <c r="BJ325" s="14"/>
      <c r="BK325" s="13"/>
      <c r="BM325" s="13">
        <v>15</v>
      </c>
      <c r="BN325" s="13">
        <v>15</v>
      </c>
      <c r="BO325" s="13">
        <v>400</v>
      </c>
      <c r="BP325" s="13">
        <v>1</v>
      </c>
      <c r="BQ325" s="14">
        <f t="shared" si="110"/>
        <v>0.09</v>
      </c>
      <c r="BR325" s="13"/>
      <c r="BS325" s="14"/>
      <c r="BT325" s="13"/>
      <c r="BV325" s="13">
        <v>4.5</v>
      </c>
      <c r="BW325" s="13">
        <v>13</v>
      </c>
      <c r="BX325" s="13">
        <v>400</v>
      </c>
      <c r="BY325" s="13">
        <v>7</v>
      </c>
      <c r="BZ325" s="14">
        <f t="shared" si="109"/>
        <v>0.1638</v>
      </c>
      <c r="CA325" s="13"/>
      <c r="CB325" s="14"/>
      <c r="CC325" s="13"/>
      <c r="CE325" s="57">
        <v>3</v>
      </c>
      <c r="CF325" s="57">
        <v>5</v>
      </c>
      <c r="CG325" s="57">
        <v>400</v>
      </c>
      <c r="CH325" s="57">
        <v>10</v>
      </c>
      <c r="CI325" s="56">
        <f t="shared" si="111"/>
        <v>0.06</v>
      </c>
      <c r="CJ325" s="57"/>
      <c r="CK325" s="56"/>
      <c r="CL325" s="140"/>
      <c r="CN325" s="122">
        <v>5</v>
      </c>
      <c r="CO325" s="122">
        <v>7</v>
      </c>
      <c r="CP325" s="122">
        <v>400</v>
      </c>
      <c r="CQ325" s="122">
        <v>96</v>
      </c>
      <c r="CR325" s="123">
        <f t="shared" si="105"/>
        <v>1.3440000000000001</v>
      </c>
      <c r="CS325" s="122"/>
      <c r="CT325" s="123"/>
      <c r="CU325" s="122"/>
    </row>
    <row r="326" spans="20:99" ht="15" customHeight="1" x14ac:dyDescent="0.25">
      <c r="AU326" s="43"/>
      <c r="AV326" s="25"/>
      <c r="AW326" s="25"/>
      <c r="AX326" s="25"/>
      <c r="AY326" s="25"/>
      <c r="AZ326" s="225" t="s">
        <v>99</v>
      </c>
      <c r="BA326" s="225"/>
      <c r="BB326" s="225"/>
      <c r="BD326" s="13">
        <v>2</v>
      </c>
      <c r="BE326" s="13">
        <v>10</v>
      </c>
      <c r="BF326" s="13">
        <v>400</v>
      </c>
      <c r="BG326" s="13">
        <v>3</v>
      </c>
      <c r="BH326" s="14">
        <f t="shared" si="113"/>
        <v>2.4E-2</v>
      </c>
      <c r="BI326" s="13"/>
      <c r="BJ326" s="14"/>
      <c r="BK326" s="41"/>
      <c r="BM326" s="13">
        <v>15</v>
      </c>
      <c r="BN326" s="13">
        <v>25</v>
      </c>
      <c r="BO326" s="13">
        <v>400</v>
      </c>
      <c r="BP326" s="13">
        <v>2</v>
      </c>
      <c r="BQ326" s="14">
        <f t="shared" si="110"/>
        <v>0.3</v>
      </c>
      <c r="BR326" s="13"/>
      <c r="BS326" s="14"/>
      <c r="BT326" s="13"/>
      <c r="BV326" s="13">
        <v>3.5</v>
      </c>
      <c r="BW326" s="13">
        <v>13</v>
      </c>
      <c r="BX326" s="13">
        <v>400</v>
      </c>
      <c r="BY326" s="13">
        <v>4</v>
      </c>
      <c r="BZ326" s="14">
        <f t="shared" si="109"/>
        <v>7.2800000000000004E-2</v>
      </c>
      <c r="CA326" s="13"/>
      <c r="CB326" s="14"/>
      <c r="CC326" s="13"/>
      <c r="CE326" s="13">
        <v>12</v>
      </c>
      <c r="CF326" s="13">
        <v>20</v>
      </c>
      <c r="CG326" s="13">
        <v>400</v>
      </c>
      <c r="CH326" s="13">
        <v>2</v>
      </c>
      <c r="CI326" s="14">
        <f t="shared" si="111"/>
        <v>0.192</v>
      </c>
      <c r="CJ326" s="13"/>
      <c r="CK326" s="14"/>
      <c r="CL326" s="41"/>
      <c r="CN326" s="122">
        <v>4</v>
      </c>
      <c r="CO326" s="122">
        <v>6</v>
      </c>
      <c r="CP326" s="122">
        <v>400</v>
      </c>
      <c r="CQ326" s="122">
        <v>66</v>
      </c>
      <c r="CR326" s="123">
        <f t="shared" si="105"/>
        <v>0.63360000000000005</v>
      </c>
      <c r="CS326" s="122"/>
      <c r="CT326" s="123"/>
      <c r="CU326" s="122"/>
    </row>
    <row r="327" spans="20:99" ht="15" customHeight="1" x14ac:dyDescent="0.25">
      <c r="AU327" s="226" t="s">
        <v>13</v>
      </c>
      <c r="AV327" s="227"/>
      <c r="AW327" s="228"/>
      <c r="AX327" s="227" t="s">
        <v>12</v>
      </c>
      <c r="AY327" s="228"/>
      <c r="AZ327" s="227" t="s">
        <v>12</v>
      </c>
      <c r="BA327" s="228"/>
      <c r="BB327" s="229" t="s">
        <v>11</v>
      </c>
      <c r="BD327" s="13">
        <v>10</v>
      </c>
      <c r="BE327" s="13">
        <v>10</v>
      </c>
      <c r="BF327" s="13">
        <v>400</v>
      </c>
      <c r="BG327" s="13">
        <v>1</v>
      </c>
      <c r="BH327" s="14">
        <f t="shared" si="113"/>
        <v>0.04</v>
      </c>
      <c r="BI327" s="13"/>
      <c r="BJ327" s="14"/>
      <c r="BK327" s="13"/>
      <c r="BM327" s="13">
        <v>3.5</v>
      </c>
      <c r="BN327" s="13">
        <v>25</v>
      </c>
      <c r="BO327" s="13">
        <v>400</v>
      </c>
      <c r="BP327" s="13">
        <v>1</v>
      </c>
      <c r="BQ327" s="14">
        <f t="shared" si="110"/>
        <v>3.5000000000000003E-2</v>
      </c>
      <c r="BR327" s="13"/>
      <c r="BS327" s="14"/>
      <c r="BT327" s="41"/>
      <c r="BV327" s="13">
        <v>4.5</v>
      </c>
      <c r="BW327" s="13">
        <v>10</v>
      </c>
      <c r="BX327" s="13">
        <v>400</v>
      </c>
      <c r="BY327" s="13">
        <v>8</v>
      </c>
      <c r="BZ327" s="14">
        <f t="shared" si="109"/>
        <v>0.14399999999999999</v>
      </c>
      <c r="CA327" s="13"/>
      <c r="CB327" s="14"/>
      <c r="CC327" s="13"/>
      <c r="CE327" s="13">
        <v>10</v>
      </c>
      <c r="CF327" s="13">
        <v>20</v>
      </c>
      <c r="CG327" s="13">
        <v>400</v>
      </c>
      <c r="CH327" s="13">
        <v>1</v>
      </c>
      <c r="CI327" s="14">
        <f t="shared" si="111"/>
        <v>0.08</v>
      </c>
      <c r="CJ327" s="13"/>
      <c r="CK327" s="14"/>
      <c r="CL327" s="41"/>
      <c r="CN327" s="122">
        <v>3</v>
      </c>
      <c r="CO327" s="122">
        <v>5</v>
      </c>
      <c r="CP327" s="122">
        <v>400</v>
      </c>
      <c r="CQ327" s="122">
        <v>190</v>
      </c>
      <c r="CR327" s="123">
        <f t="shared" si="105"/>
        <v>1.1399999999999999</v>
      </c>
      <c r="CS327" s="122"/>
      <c r="CT327" s="123"/>
      <c r="CU327" s="122"/>
    </row>
    <row r="328" spans="20:99" ht="15" customHeight="1" x14ac:dyDescent="0.25">
      <c r="AU328" s="24" t="s">
        <v>10</v>
      </c>
      <c r="AV328" s="23" t="s">
        <v>9</v>
      </c>
      <c r="AW328" s="23" t="s">
        <v>8</v>
      </c>
      <c r="AX328" s="22" t="s">
        <v>7</v>
      </c>
      <c r="AY328" s="21" t="s">
        <v>6</v>
      </c>
      <c r="AZ328" s="22" t="s">
        <v>7</v>
      </c>
      <c r="BA328" s="21" t="s">
        <v>6</v>
      </c>
      <c r="BB328" s="230"/>
      <c r="BD328" s="57">
        <v>4</v>
      </c>
      <c r="BE328" s="57">
        <v>6</v>
      </c>
      <c r="BF328" s="57">
        <v>400</v>
      </c>
      <c r="BG328" s="57">
        <v>18</v>
      </c>
      <c r="BH328" s="56">
        <f t="shared" si="113"/>
        <v>0.17280000000000001</v>
      </c>
      <c r="BI328" s="57"/>
      <c r="BJ328" s="56"/>
      <c r="BK328" s="140"/>
      <c r="BM328" s="13">
        <v>4.5</v>
      </c>
      <c r="BN328" s="13">
        <v>25</v>
      </c>
      <c r="BO328" s="13">
        <v>400</v>
      </c>
      <c r="BP328" s="13">
        <v>2</v>
      </c>
      <c r="BQ328" s="14">
        <f t="shared" si="110"/>
        <v>0.09</v>
      </c>
      <c r="BR328" s="13"/>
      <c r="BS328" s="14"/>
      <c r="BT328" s="13"/>
      <c r="BV328" s="13">
        <v>2.2000000000000002</v>
      </c>
      <c r="BW328" s="13">
        <v>10</v>
      </c>
      <c r="BX328" s="13">
        <v>400</v>
      </c>
      <c r="BY328" s="13">
        <v>1</v>
      </c>
      <c r="BZ328" s="14">
        <f t="shared" si="109"/>
        <v>8.8000000000000005E-3</v>
      </c>
      <c r="CA328" s="13"/>
      <c r="CB328" s="14"/>
      <c r="CC328" s="13"/>
      <c r="CE328" s="13">
        <v>10</v>
      </c>
      <c r="CF328" s="13">
        <v>15</v>
      </c>
      <c r="CG328" s="13">
        <v>400</v>
      </c>
      <c r="CH328" s="13">
        <v>1</v>
      </c>
      <c r="CI328" s="14">
        <f t="shared" si="111"/>
        <v>0.06</v>
      </c>
      <c r="CJ328" s="13"/>
      <c r="CK328" s="14"/>
      <c r="CL328" s="41"/>
      <c r="CN328" s="122">
        <v>2</v>
      </c>
      <c r="CO328" s="122">
        <v>3</v>
      </c>
      <c r="CP328" s="122">
        <v>400</v>
      </c>
      <c r="CQ328" s="122">
        <v>225</v>
      </c>
      <c r="CR328" s="123">
        <f t="shared" si="105"/>
        <v>0.54</v>
      </c>
      <c r="CS328" s="122">
        <f>SUM(CQ325:CQ328)</f>
        <v>577</v>
      </c>
      <c r="CT328" s="125">
        <f>SUM(CR325:CR328)</f>
        <v>3.6576000000000004</v>
      </c>
      <c r="CU328" s="126" t="s">
        <v>23</v>
      </c>
    </row>
    <row r="329" spans="20:99" ht="15" customHeight="1" thickBot="1" x14ac:dyDescent="0.3">
      <c r="AU329" s="122">
        <v>2</v>
      </c>
      <c r="AV329" s="122">
        <v>3</v>
      </c>
      <c r="AW329" s="122">
        <v>400</v>
      </c>
      <c r="AX329" s="122">
        <v>1325</v>
      </c>
      <c r="AY329" s="123">
        <f t="shared" ref="AY329:AY337" si="114">AU329*AV329*AW329*AX329/1000000</f>
        <v>3.18</v>
      </c>
      <c r="AZ329" s="122"/>
      <c r="BA329" s="123"/>
      <c r="BB329" s="122"/>
      <c r="BD329" s="13">
        <v>3</v>
      </c>
      <c r="BE329" s="13">
        <v>10</v>
      </c>
      <c r="BF329" s="13">
        <v>400</v>
      </c>
      <c r="BG329" s="13">
        <v>1</v>
      </c>
      <c r="BH329" s="14">
        <f t="shared" si="113"/>
        <v>1.2E-2</v>
      </c>
      <c r="BI329" s="13"/>
      <c r="BJ329" s="14"/>
      <c r="BK329" s="41"/>
      <c r="BM329" s="13">
        <v>10</v>
      </c>
      <c r="BN329" s="13">
        <v>30</v>
      </c>
      <c r="BO329" s="13">
        <v>400</v>
      </c>
      <c r="BP329" s="13">
        <v>2</v>
      </c>
      <c r="BQ329" s="14">
        <f t="shared" si="110"/>
        <v>0.24</v>
      </c>
      <c r="BR329" s="13"/>
      <c r="BS329" s="14"/>
      <c r="BT329" s="13"/>
      <c r="BV329" s="13">
        <v>3.5</v>
      </c>
      <c r="BW329" s="13">
        <v>10</v>
      </c>
      <c r="BX329" s="13">
        <v>400</v>
      </c>
      <c r="BY329" s="13">
        <v>1</v>
      </c>
      <c r="BZ329" s="14">
        <f t="shared" si="109"/>
        <v>1.4E-2</v>
      </c>
      <c r="CA329" s="13"/>
      <c r="CB329" s="14"/>
      <c r="CC329" s="13"/>
      <c r="CE329" s="13">
        <v>2</v>
      </c>
      <c r="CF329" s="13">
        <v>15</v>
      </c>
      <c r="CG329" s="13">
        <v>400</v>
      </c>
      <c r="CH329" s="13">
        <v>1</v>
      </c>
      <c r="CI329" s="14">
        <f t="shared" si="111"/>
        <v>1.2E-2</v>
      </c>
      <c r="CJ329" s="13"/>
      <c r="CK329" s="14"/>
      <c r="CL329" s="41"/>
      <c r="CN329" s="115"/>
      <c r="CO329" s="115"/>
      <c r="CP329" s="115"/>
      <c r="CQ329" s="17">
        <f>SUM(CQ282:CQ328)</f>
        <v>817</v>
      </c>
      <c r="CR329" s="32">
        <f>SUM(CR282:CR328)</f>
        <v>12.06616</v>
      </c>
      <c r="CS329" s="17">
        <f>SUM(CS282:CS328)</f>
        <v>817</v>
      </c>
      <c r="CT329" s="32">
        <f>SUM(CT282:CT328)</f>
        <v>12.066160000000002</v>
      </c>
      <c r="CU329" s="146"/>
    </row>
    <row r="330" spans="20:99" ht="15" customHeight="1" thickTop="1" x14ac:dyDescent="0.25">
      <c r="AU330" s="122">
        <v>3</v>
      </c>
      <c r="AV330" s="122">
        <v>5</v>
      </c>
      <c r="AW330" s="122">
        <v>400</v>
      </c>
      <c r="AX330" s="122">
        <v>600</v>
      </c>
      <c r="AY330" s="123">
        <f t="shared" si="114"/>
        <v>3.6</v>
      </c>
      <c r="AZ330" s="122"/>
      <c r="BA330" s="123"/>
      <c r="BB330" s="122"/>
      <c r="BD330" s="13">
        <v>8</v>
      </c>
      <c r="BE330" s="13">
        <v>15</v>
      </c>
      <c r="BF330" s="13">
        <v>400</v>
      </c>
      <c r="BG330" s="13">
        <v>1</v>
      </c>
      <c r="BH330" s="14">
        <f t="shared" si="113"/>
        <v>4.8000000000000001E-2</v>
      </c>
      <c r="BI330" s="13"/>
      <c r="BJ330" s="14"/>
      <c r="BK330" s="13"/>
      <c r="BM330" s="13">
        <v>13</v>
      </c>
      <c r="BN330" s="13">
        <v>30</v>
      </c>
      <c r="BO330" s="13">
        <v>400</v>
      </c>
      <c r="BP330" s="13">
        <v>4</v>
      </c>
      <c r="BQ330" s="14">
        <f t="shared" si="110"/>
        <v>0.624</v>
      </c>
      <c r="BR330" s="13"/>
      <c r="BS330" s="14"/>
      <c r="BT330" s="13"/>
      <c r="BV330" s="122">
        <v>5</v>
      </c>
      <c r="BW330" s="122">
        <v>7</v>
      </c>
      <c r="BX330" s="122">
        <v>400</v>
      </c>
      <c r="BY330" s="122">
        <v>196</v>
      </c>
      <c r="BZ330" s="123">
        <f t="shared" si="109"/>
        <v>2.7440000000000002</v>
      </c>
      <c r="CA330" s="122"/>
      <c r="CB330" s="123"/>
      <c r="CC330" s="122"/>
      <c r="CE330" s="13">
        <v>7</v>
      </c>
      <c r="CF330" s="13">
        <v>12</v>
      </c>
      <c r="CG330" s="13">
        <v>400</v>
      </c>
      <c r="CH330" s="13">
        <v>1</v>
      </c>
      <c r="CI330" s="14">
        <f t="shared" si="111"/>
        <v>3.3599999999999998E-2</v>
      </c>
      <c r="CJ330" s="13"/>
      <c r="CK330" s="14"/>
      <c r="CL330" s="41"/>
    </row>
    <row r="331" spans="20:99" ht="15" customHeight="1" x14ac:dyDescent="0.25">
      <c r="AU331" s="122">
        <v>4</v>
      </c>
      <c r="AV331" s="122">
        <v>6</v>
      </c>
      <c r="AW331" s="122">
        <v>400</v>
      </c>
      <c r="AX331" s="122">
        <v>84</v>
      </c>
      <c r="AY331" s="123">
        <f t="shared" si="114"/>
        <v>0.80640000000000001</v>
      </c>
      <c r="AZ331" s="122"/>
      <c r="BA331" s="123"/>
      <c r="BB331" s="122"/>
      <c r="BD331" s="13">
        <v>6</v>
      </c>
      <c r="BE331" s="13">
        <v>15</v>
      </c>
      <c r="BF331" s="13">
        <v>400</v>
      </c>
      <c r="BG331" s="13">
        <v>6</v>
      </c>
      <c r="BH331" s="14">
        <f t="shared" si="113"/>
        <v>0.216</v>
      </c>
      <c r="BI331" s="13"/>
      <c r="BJ331" s="14"/>
      <c r="BK331" s="13"/>
      <c r="BM331" s="13">
        <v>7</v>
      </c>
      <c r="BN331" s="13">
        <v>13</v>
      </c>
      <c r="BO331" s="13">
        <v>400</v>
      </c>
      <c r="BP331" s="13">
        <v>1</v>
      </c>
      <c r="BQ331" s="14">
        <f t="shared" si="110"/>
        <v>3.6400000000000002E-2</v>
      </c>
      <c r="BR331" s="13"/>
      <c r="BS331" s="14"/>
      <c r="BT331" s="13"/>
      <c r="BV331" s="122">
        <v>4</v>
      </c>
      <c r="BW331" s="122">
        <v>6</v>
      </c>
      <c r="BX331" s="122">
        <v>400</v>
      </c>
      <c r="BY331" s="122">
        <v>114</v>
      </c>
      <c r="BZ331" s="123">
        <f t="shared" si="109"/>
        <v>1.0944</v>
      </c>
      <c r="CA331" s="122">
        <f>SUM(BY297:BY331)</f>
        <v>433</v>
      </c>
      <c r="CB331" s="123">
        <f>SUM(BZ297:BZ331)</f>
        <v>10.96396</v>
      </c>
      <c r="CC331" s="126" t="s">
        <v>23</v>
      </c>
      <c r="CE331" s="13">
        <v>5</v>
      </c>
      <c r="CF331" s="13">
        <v>12</v>
      </c>
      <c r="CG331" s="13">
        <v>400</v>
      </c>
      <c r="CH331" s="13">
        <v>1</v>
      </c>
      <c r="CI331" s="14">
        <f t="shared" si="111"/>
        <v>2.4E-2</v>
      </c>
      <c r="CJ331" s="13"/>
      <c r="CK331" s="14"/>
      <c r="CL331" s="41"/>
      <c r="CN331" s="8" t="s">
        <v>186</v>
      </c>
    </row>
    <row r="332" spans="20:99" ht="15" customHeight="1" thickBot="1" x14ac:dyDescent="0.3">
      <c r="AU332" s="122">
        <v>5</v>
      </c>
      <c r="AV332" s="122">
        <v>7</v>
      </c>
      <c r="AW332" s="122">
        <v>400</v>
      </c>
      <c r="AX332" s="122">
        <v>208</v>
      </c>
      <c r="AY332" s="123">
        <f t="shared" si="114"/>
        <v>2.9119999999999999</v>
      </c>
      <c r="AZ332" s="122">
        <f>SUM(AX329:AX332)</f>
        <v>2217</v>
      </c>
      <c r="BA332" s="123">
        <f>SUM(AY329:AY332)</f>
        <v>10.4984</v>
      </c>
      <c r="BB332" s="122"/>
      <c r="BD332" s="13">
        <v>2</v>
      </c>
      <c r="BE332" s="13">
        <v>15</v>
      </c>
      <c r="BF332" s="13">
        <v>400</v>
      </c>
      <c r="BG332" s="13">
        <v>1</v>
      </c>
      <c r="BH332" s="14">
        <f t="shared" si="113"/>
        <v>1.2E-2</v>
      </c>
      <c r="BI332" s="13"/>
      <c r="BJ332" s="14"/>
      <c r="BK332" s="13"/>
      <c r="BM332" s="13">
        <v>8</v>
      </c>
      <c r="BN332" s="13">
        <v>13</v>
      </c>
      <c r="BO332" s="13">
        <v>400</v>
      </c>
      <c r="BP332" s="13">
        <v>2</v>
      </c>
      <c r="BQ332" s="14">
        <f t="shared" si="110"/>
        <v>8.3199999999999996E-2</v>
      </c>
      <c r="BR332" s="13"/>
      <c r="BS332" s="14"/>
      <c r="BT332" s="41"/>
      <c r="BV332" s="149"/>
      <c r="BW332" s="149"/>
      <c r="BX332" s="149"/>
      <c r="BY332" s="17">
        <f>SUM(BY297:BY331)</f>
        <v>433</v>
      </c>
      <c r="BZ332" s="48">
        <f>SUM(BZ297:BZ331)</f>
        <v>10.96396</v>
      </c>
      <c r="CA332" s="17">
        <f>SUM(CA297:CA331)</f>
        <v>433</v>
      </c>
      <c r="CB332" s="48">
        <f>SUM(CB297:CB331)</f>
        <v>10.96396</v>
      </c>
      <c r="CC332" s="146"/>
      <c r="CE332" s="13">
        <v>5</v>
      </c>
      <c r="CF332" s="13">
        <v>10</v>
      </c>
      <c r="CG332" s="13">
        <v>400</v>
      </c>
      <c r="CH332" s="13">
        <v>8</v>
      </c>
      <c r="CI332" s="14">
        <f>CE332*CF332*CG332*CH332/1000000</f>
        <v>0.16</v>
      </c>
      <c r="CJ332" s="13"/>
      <c r="CK332" s="96"/>
      <c r="CL332" s="41"/>
      <c r="CN332" s="4" t="s">
        <v>24</v>
      </c>
      <c r="CO332" s="4" t="s">
        <v>0</v>
      </c>
      <c r="CP332" s="6">
        <f>SUM(CQ329)</f>
        <v>817</v>
      </c>
      <c r="CQ332" s="7">
        <f>SUM(CR329)</f>
        <v>12.06616</v>
      </c>
      <c r="CR332" s="7" t="s">
        <v>23</v>
      </c>
      <c r="CS332" s="6">
        <f>SUM(CQ329,CS272,CS224)</f>
        <v>1716</v>
      </c>
      <c r="CT332" s="7">
        <f>SUM(CR329,CT272,CT224)</f>
        <v>29.088519999999999</v>
      </c>
    </row>
    <row r="333" spans="20:99" ht="15" customHeight="1" thickTop="1" x14ac:dyDescent="0.25">
      <c r="AU333" s="13">
        <v>4.5</v>
      </c>
      <c r="AV333" s="13">
        <v>10</v>
      </c>
      <c r="AW333" s="13">
        <v>400</v>
      </c>
      <c r="AX333" s="13">
        <v>20</v>
      </c>
      <c r="AY333" s="14">
        <f t="shared" si="114"/>
        <v>0.36</v>
      </c>
      <c r="AZ333" s="13"/>
      <c r="BA333" s="14"/>
      <c r="BB333" s="13"/>
      <c r="BD333" s="13">
        <v>4.5</v>
      </c>
      <c r="BE333" s="13">
        <v>15</v>
      </c>
      <c r="BF333" s="13">
        <v>400</v>
      </c>
      <c r="BG333" s="13">
        <v>1</v>
      </c>
      <c r="BH333" s="14">
        <f t="shared" si="113"/>
        <v>2.7E-2</v>
      </c>
      <c r="BI333" s="13"/>
      <c r="BJ333" s="14"/>
      <c r="BK333" s="13"/>
      <c r="BM333" s="13">
        <v>1.7</v>
      </c>
      <c r="BN333" s="13">
        <v>10</v>
      </c>
      <c r="BO333" s="13">
        <v>400</v>
      </c>
      <c r="BP333" s="13">
        <v>5</v>
      </c>
      <c r="BQ333" s="14">
        <f t="shared" si="110"/>
        <v>3.4000000000000002E-2</v>
      </c>
      <c r="BR333" s="13"/>
      <c r="BS333" s="14"/>
      <c r="BT333" s="13"/>
      <c r="CE333" s="57">
        <v>4</v>
      </c>
      <c r="CF333" s="57">
        <v>6</v>
      </c>
      <c r="CG333" s="57">
        <v>300</v>
      </c>
      <c r="CH333" s="57">
        <v>12</v>
      </c>
      <c r="CI333" s="56">
        <f t="shared" si="111"/>
        <v>8.6400000000000005E-2</v>
      </c>
      <c r="CJ333" s="57"/>
      <c r="CK333" s="180"/>
      <c r="CL333" s="140"/>
      <c r="CN333" s="4" t="s">
        <v>22</v>
      </c>
      <c r="CO333" s="4" t="s">
        <v>0</v>
      </c>
      <c r="CP333" s="6">
        <f>SUM(CQ225)</f>
        <v>554</v>
      </c>
      <c r="CQ333" s="5">
        <f>SUM(CR225)</f>
        <v>14.109559999999997</v>
      </c>
      <c r="CR333" s="7" t="s">
        <v>21</v>
      </c>
      <c r="CS333" s="6">
        <f>SUM(CS257,CS182)</f>
        <v>254</v>
      </c>
      <c r="CT333" s="7">
        <f>SUM(CT257,CT182)</f>
        <v>7.2371999999999987</v>
      </c>
    </row>
    <row r="334" spans="20:99" ht="15" customHeight="1" thickBot="1" x14ac:dyDescent="0.3">
      <c r="AU334" s="13">
        <v>3.5</v>
      </c>
      <c r="AV334" s="13">
        <v>10</v>
      </c>
      <c r="AW334" s="13">
        <v>400</v>
      </c>
      <c r="AX334" s="13">
        <v>2</v>
      </c>
      <c r="AY334" s="14">
        <f t="shared" si="114"/>
        <v>2.8000000000000001E-2</v>
      </c>
      <c r="AZ334" s="13"/>
      <c r="BA334" s="14"/>
      <c r="BB334" s="41"/>
      <c r="BD334" s="13">
        <v>7</v>
      </c>
      <c r="BE334" s="13">
        <v>20</v>
      </c>
      <c r="BF334" s="13">
        <v>400</v>
      </c>
      <c r="BG334" s="13">
        <v>1</v>
      </c>
      <c r="BH334" s="14">
        <f t="shared" si="113"/>
        <v>5.6000000000000001E-2</v>
      </c>
      <c r="BI334" s="13"/>
      <c r="BJ334" s="14"/>
      <c r="BK334" s="13"/>
      <c r="BM334" s="19">
        <v>1.7</v>
      </c>
      <c r="BN334" s="19">
        <v>20</v>
      </c>
      <c r="BO334" s="19">
        <v>400</v>
      </c>
      <c r="BP334" s="19">
        <v>1</v>
      </c>
      <c r="BQ334" s="35">
        <f t="shared" si="110"/>
        <v>1.3599999999999999E-2</v>
      </c>
      <c r="BR334" s="19"/>
      <c r="BS334" s="14"/>
      <c r="BT334" s="19"/>
      <c r="BV334" s="8" t="s">
        <v>134</v>
      </c>
      <c r="CE334" s="57">
        <v>3</v>
      </c>
      <c r="CF334" s="57">
        <v>5</v>
      </c>
      <c r="CG334" s="57">
        <v>300</v>
      </c>
      <c r="CH334" s="57">
        <v>10</v>
      </c>
      <c r="CI334" s="56">
        <f t="shared" si="111"/>
        <v>4.4999999999999998E-2</v>
      </c>
      <c r="CJ334" s="159">
        <f>SUM(CH308:CH334)</f>
        <v>175</v>
      </c>
      <c r="CK334" s="172">
        <f>SUM(CI308:CI334)</f>
        <v>4.7369999999999992</v>
      </c>
      <c r="CL334" s="140" t="s">
        <v>21</v>
      </c>
      <c r="CN334" s="4" t="s">
        <v>20</v>
      </c>
      <c r="CO334" s="4" t="s">
        <v>0</v>
      </c>
      <c r="CP334" s="6">
        <f>SUM(CQ273)</f>
        <v>599</v>
      </c>
      <c r="CQ334" s="5">
        <f>SUM(CR273)</f>
        <v>10.149999999999999</v>
      </c>
      <c r="CR334" s="4"/>
      <c r="CS334" s="3">
        <f>SUM(CS332:CS333)</f>
        <v>1970</v>
      </c>
      <c r="CT334" s="53">
        <f>SUM(CT332:CT333)</f>
        <v>36.325719999999997</v>
      </c>
    </row>
    <row r="335" spans="20:99" ht="15" customHeight="1" thickTop="1" thickBot="1" x14ac:dyDescent="0.3">
      <c r="AU335" s="13">
        <v>2.2000000000000002</v>
      </c>
      <c r="AV335" s="13">
        <v>10</v>
      </c>
      <c r="AW335" s="13">
        <v>400</v>
      </c>
      <c r="AX335" s="13">
        <v>2</v>
      </c>
      <c r="AY335" s="14">
        <f t="shared" si="114"/>
        <v>1.7600000000000001E-2</v>
      </c>
      <c r="AZ335" s="13"/>
      <c r="BA335" s="14"/>
      <c r="BB335" s="13"/>
      <c r="BD335" s="13">
        <v>2</v>
      </c>
      <c r="BE335" s="13">
        <v>20</v>
      </c>
      <c r="BF335" s="13">
        <v>400</v>
      </c>
      <c r="BG335" s="13">
        <v>1</v>
      </c>
      <c r="BH335" s="14">
        <f t="shared" si="113"/>
        <v>1.6E-2</v>
      </c>
      <c r="BI335" s="13"/>
      <c r="BJ335" s="14"/>
      <c r="BK335" s="13"/>
      <c r="BM335" s="122">
        <v>5</v>
      </c>
      <c r="BN335" s="122">
        <v>7</v>
      </c>
      <c r="BO335" s="122">
        <v>400</v>
      </c>
      <c r="BP335" s="122">
        <v>28</v>
      </c>
      <c r="BQ335" s="123">
        <f>BM335*BN335*BO335*BP335/1000000</f>
        <v>0.39200000000000002</v>
      </c>
      <c r="BR335" s="122"/>
      <c r="BS335" s="123"/>
      <c r="BT335" s="122"/>
      <c r="BV335" s="4" t="s">
        <v>24</v>
      </c>
      <c r="BW335" s="4"/>
      <c r="BX335" s="6">
        <f>SUM(BY248)</f>
        <v>468</v>
      </c>
      <c r="BY335" s="7">
        <f>SUM(BZ248)</f>
        <v>12.517199999999999</v>
      </c>
      <c r="BZ335" s="7" t="s">
        <v>23</v>
      </c>
      <c r="CA335" s="6">
        <f>SUM(BX338)</f>
        <v>2379</v>
      </c>
      <c r="CB335" s="5">
        <f>SUM(BY338)</f>
        <v>34.481400000000001</v>
      </c>
      <c r="CE335" s="13">
        <v>13</v>
      </c>
      <c r="CF335" s="13">
        <v>30</v>
      </c>
      <c r="CG335" s="13">
        <v>400</v>
      </c>
      <c r="CH335" s="13">
        <v>3</v>
      </c>
      <c r="CI335" s="14">
        <f t="shared" si="111"/>
        <v>0.46800000000000003</v>
      </c>
      <c r="CJ335" s="37"/>
      <c r="CK335" s="36"/>
      <c r="CL335" s="41"/>
      <c r="CN335" s="4"/>
      <c r="CO335" s="4"/>
      <c r="CP335" s="30">
        <f>SUM(CP332:CP334)</f>
        <v>1970</v>
      </c>
      <c r="CQ335" s="29">
        <f>SUM(CQ332:CQ334)</f>
        <v>36.325719999999997</v>
      </c>
    </row>
    <row r="336" spans="20:99" ht="15" customHeight="1" thickTop="1" x14ac:dyDescent="0.25">
      <c r="AU336" s="13">
        <v>10</v>
      </c>
      <c r="AV336" s="13">
        <v>10</v>
      </c>
      <c r="AW336" s="13">
        <v>400</v>
      </c>
      <c r="AX336" s="13">
        <v>2</v>
      </c>
      <c r="AY336" s="14">
        <f t="shared" si="114"/>
        <v>0.08</v>
      </c>
      <c r="AZ336" s="13"/>
      <c r="BA336" s="14"/>
      <c r="BB336" s="13"/>
      <c r="BD336" s="57">
        <v>5</v>
      </c>
      <c r="BE336" s="57">
        <v>7</v>
      </c>
      <c r="BF336" s="57">
        <v>400</v>
      </c>
      <c r="BG336" s="57">
        <v>4</v>
      </c>
      <c r="BH336" s="56">
        <f t="shared" si="113"/>
        <v>5.6000000000000001E-2</v>
      </c>
      <c r="BI336" s="57"/>
      <c r="BJ336" s="56"/>
      <c r="BK336" s="57"/>
      <c r="BM336" s="122">
        <v>4</v>
      </c>
      <c r="BN336" s="130">
        <v>6</v>
      </c>
      <c r="BO336" s="130">
        <v>400</v>
      </c>
      <c r="BP336" s="130">
        <v>54</v>
      </c>
      <c r="BQ336" s="131">
        <f>BM336*BN336*BO336*BP336/1000000</f>
        <v>0.51839999999999997</v>
      </c>
      <c r="BR336" s="130"/>
      <c r="BS336" s="123"/>
      <c r="BT336" s="130"/>
      <c r="BV336" s="4" t="s">
        <v>22</v>
      </c>
      <c r="BW336" s="4"/>
      <c r="BX336" s="6">
        <f>SUM(BY288)</f>
        <v>1478</v>
      </c>
      <c r="BY336" s="7">
        <f>SUM(BZ288)</f>
        <v>11.00024</v>
      </c>
      <c r="BZ336" s="7" t="s">
        <v>21</v>
      </c>
      <c r="CA336" s="6">
        <v>0</v>
      </c>
      <c r="CB336" s="7">
        <v>0</v>
      </c>
      <c r="CE336" s="13">
        <v>15</v>
      </c>
      <c r="CF336" s="13">
        <v>30</v>
      </c>
      <c r="CG336" s="13">
        <v>400</v>
      </c>
      <c r="CH336" s="13">
        <v>1</v>
      </c>
      <c r="CI336" s="14">
        <f t="shared" si="111"/>
        <v>0.18</v>
      </c>
      <c r="CJ336" s="13"/>
      <c r="CK336" s="14"/>
      <c r="CL336" s="13"/>
      <c r="CR336" s="7" t="s">
        <v>155</v>
      </c>
      <c r="CS336" s="6">
        <f>SUM(CS328,CQ271:CQ272,CQ222:CQ224)</f>
        <v>1194</v>
      </c>
      <c r="CT336" s="7">
        <f>SUM(CT328,CR271:CR272,CR222:CR224)</f>
        <v>7.8208000000000002</v>
      </c>
    </row>
    <row r="337" spans="47:98" ht="15" customHeight="1" thickBot="1" x14ac:dyDescent="0.3">
      <c r="AU337" s="13">
        <v>8</v>
      </c>
      <c r="AV337" s="13">
        <v>10</v>
      </c>
      <c r="AW337" s="13">
        <v>400</v>
      </c>
      <c r="AX337" s="19">
        <v>1</v>
      </c>
      <c r="AY337" s="35">
        <f t="shared" si="114"/>
        <v>3.2000000000000001E-2</v>
      </c>
      <c r="AZ337" s="19">
        <f>SUM(AX333:AX337)</f>
        <v>27</v>
      </c>
      <c r="BA337" s="35">
        <f>SUM(AY333:AY337)</f>
        <v>0.51760000000000006</v>
      </c>
      <c r="BB337" s="33" t="s">
        <v>23</v>
      </c>
      <c r="BD337" s="57">
        <v>3</v>
      </c>
      <c r="BE337" s="57">
        <v>5</v>
      </c>
      <c r="BF337" s="57">
        <v>400</v>
      </c>
      <c r="BG337" s="57">
        <v>10</v>
      </c>
      <c r="BH337" s="56">
        <f t="shared" si="113"/>
        <v>0.06</v>
      </c>
      <c r="BI337" s="57">
        <f>SUM(BG317:BG337)</f>
        <v>63</v>
      </c>
      <c r="BJ337" s="139">
        <f>SUM(BH317:BH337)</f>
        <v>1.2150000000000001</v>
      </c>
      <c r="BK337" s="140" t="s">
        <v>21</v>
      </c>
      <c r="BM337" s="122">
        <v>3</v>
      </c>
      <c r="BN337" s="122">
        <v>5</v>
      </c>
      <c r="BO337" s="122">
        <v>400</v>
      </c>
      <c r="BP337" s="122">
        <v>130</v>
      </c>
      <c r="BQ337" s="123">
        <f>BM337*BN337*BO337*BP337/1000000</f>
        <v>0.78</v>
      </c>
      <c r="BR337" s="122"/>
      <c r="BS337" s="123"/>
      <c r="BT337" s="122"/>
      <c r="BV337" s="4" t="s">
        <v>20</v>
      </c>
      <c r="BW337" s="4"/>
      <c r="BX337" s="6">
        <f>SUM(BY332)</f>
        <v>433</v>
      </c>
      <c r="BY337" s="5">
        <f>SUM(BZ332)</f>
        <v>10.96396</v>
      </c>
      <c r="BZ337" s="4"/>
      <c r="CA337" s="3">
        <f>SUM(CA335:CA336)</f>
        <v>2379</v>
      </c>
      <c r="CB337" s="53">
        <f>SUM(CB335:CB336)</f>
        <v>34.481400000000001</v>
      </c>
      <c r="CE337" s="13">
        <v>7</v>
      </c>
      <c r="CF337" s="13">
        <v>25</v>
      </c>
      <c r="CG337" s="13">
        <v>400</v>
      </c>
      <c r="CH337" s="13">
        <v>2</v>
      </c>
      <c r="CI337" s="14">
        <f t="shared" si="111"/>
        <v>0.14000000000000001</v>
      </c>
      <c r="CJ337" s="13"/>
      <c r="CK337" s="14"/>
      <c r="CL337" s="13"/>
      <c r="CR337" s="7" t="s">
        <v>119</v>
      </c>
      <c r="CS337" s="6">
        <f>SUM(CS324,CQ258:CQ270,CQ183:CQ221)</f>
        <v>522</v>
      </c>
      <c r="CT337" s="7">
        <f>SUM(CT324,CR258:CR270,CR183:CR221)</f>
        <v>21.267720000000001</v>
      </c>
    </row>
    <row r="338" spans="47:98" ht="15" customHeight="1" thickTop="1" thickBot="1" x14ac:dyDescent="0.3">
      <c r="AX338" s="98">
        <f>SUM(AX329:AX337)</f>
        <v>2244</v>
      </c>
      <c r="AY338" s="18">
        <f>SUM(AY329:AY337)</f>
        <v>11.016</v>
      </c>
      <c r="AZ338" s="98">
        <f>SUM(AZ329:AZ337)</f>
        <v>2244</v>
      </c>
      <c r="BA338" s="18">
        <f>SUM(BA329:BA337)</f>
        <v>11.016</v>
      </c>
      <c r="BB338" s="98"/>
      <c r="BD338" s="122">
        <v>5</v>
      </c>
      <c r="BE338" s="122">
        <v>7</v>
      </c>
      <c r="BF338" s="122">
        <v>400</v>
      </c>
      <c r="BG338" s="122">
        <v>140</v>
      </c>
      <c r="BH338" s="123">
        <f t="shared" si="113"/>
        <v>1.96</v>
      </c>
      <c r="BI338" s="122"/>
      <c r="BJ338" s="123"/>
      <c r="BK338" s="122"/>
      <c r="BM338" s="122">
        <v>2</v>
      </c>
      <c r="BN338" s="130">
        <v>3</v>
      </c>
      <c r="BO338" s="130">
        <v>400</v>
      </c>
      <c r="BP338" s="130">
        <v>200</v>
      </c>
      <c r="BQ338" s="131">
        <f>BM338*BN338*BO338*BP338/1000000</f>
        <v>0.48</v>
      </c>
      <c r="BR338" s="130"/>
      <c r="BS338" s="131"/>
      <c r="BT338" s="130"/>
      <c r="BV338" s="4"/>
      <c r="BW338" s="4"/>
      <c r="BX338" s="30">
        <f>SUM(BX335:BX337)</f>
        <v>2379</v>
      </c>
      <c r="BY338" s="29">
        <f>SUM(BY335:BY337)</f>
        <v>34.481400000000001</v>
      </c>
      <c r="CE338" s="13">
        <v>15</v>
      </c>
      <c r="CF338" s="13">
        <v>25</v>
      </c>
      <c r="CG338" s="13">
        <v>400</v>
      </c>
      <c r="CH338" s="13">
        <v>3</v>
      </c>
      <c r="CI338" s="14">
        <f t="shared" si="111"/>
        <v>0.45</v>
      </c>
      <c r="CJ338" s="13"/>
      <c r="CK338" s="14"/>
      <c r="CL338" s="13"/>
      <c r="CR338" s="7" t="s">
        <v>149</v>
      </c>
      <c r="CS338" s="6">
        <f>SUM(CQ180:CQ182)</f>
        <v>57</v>
      </c>
      <c r="CT338" s="7">
        <f>SUM(CR180:CR182)</f>
        <v>0.29520000000000002</v>
      </c>
    </row>
    <row r="339" spans="47:98" ht="15" customHeight="1" thickTop="1" x14ac:dyDescent="0.25">
      <c r="BD339" s="122">
        <v>4</v>
      </c>
      <c r="BE339" s="122">
        <v>6</v>
      </c>
      <c r="BF339" s="122">
        <v>400</v>
      </c>
      <c r="BG339" s="122">
        <v>54</v>
      </c>
      <c r="BH339" s="123">
        <f t="shared" si="113"/>
        <v>0.51839999999999997</v>
      </c>
      <c r="BI339" s="122"/>
      <c r="BJ339" s="123"/>
      <c r="BK339" s="122"/>
      <c r="BM339" s="122">
        <v>3</v>
      </c>
      <c r="BN339" s="122">
        <v>5</v>
      </c>
      <c r="BO339" s="122">
        <v>300</v>
      </c>
      <c r="BP339" s="122">
        <v>20</v>
      </c>
      <c r="BQ339" s="132">
        <f>BM339*BN339*BO339*BP339/1000000</f>
        <v>0.09</v>
      </c>
      <c r="BR339" s="133">
        <f>SUM(BP288:BP339)</f>
        <v>662</v>
      </c>
      <c r="BS339" s="134">
        <f>SUM(BQ288:BQ339)</f>
        <v>12.243680000000001</v>
      </c>
      <c r="BT339" s="126" t="s">
        <v>23</v>
      </c>
      <c r="BZ339" s="7" t="s">
        <v>118</v>
      </c>
      <c r="CA339" s="6">
        <f>SUM(BY330:BY331,BY283:BY287,BY247)</f>
        <v>1817</v>
      </c>
      <c r="CB339" s="7">
        <f>SUM(BZ330:BZ331,BZ283:BZ287,BZ247)</f>
        <v>12.4254</v>
      </c>
      <c r="CE339" s="13">
        <v>10</v>
      </c>
      <c r="CF339" s="13">
        <v>25</v>
      </c>
      <c r="CG339" s="13">
        <v>400</v>
      </c>
      <c r="CH339" s="13">
        <v>3</v>
      </c>
      <c r="CI339" s="14">
        <f t="shared" si="111"/>
        <v>0.3</v>
      </c>
      <c r="CJ339" s="13"/>
      <c r="CK339" s="14"/>
      <c r="CL339" s="13"/>
      <c r="CR339" s="7" t="s">
        <v>148</v>
      </c>
      <c r="CS339" s="6">
        <f>SUM(CQ170:CQ179,CS257)</f>
        <v>197</v>
      </c>
      <c r="CT339" s="5">
        <f>SUM(CR170:CR179,CT257)</f>
        <v>6.9419999999999984</v>
      </c>
    </row>
    <row r="340" spans="47:98" ht="15" customHeight="1" thickBot="1" x14ac:dyDescent="0.3">
      <c r="AU340" s="231" t="s">
        <v>19</v>
      </c>
      <c r="AV340" s="231"/>
      <c r="AW340" s="231"/>
      <c r="AX340" s="231"/>
      <c r="AY340" s="231"/>
      <c r="AZ340" s="231"/>
      <c r="BA340" s="231"/>
      <c r="BB340" s="231"/>
      <c r="BD340" s="122">
        <v>3</v>
      </c>
      <c r="BE340" s="122">
        <v>5</v>
      </c>
      <c r="BF340" s="122">
        <v>400</v>
      </c>
      <c r="BG340" s="122">
        <v>210</v>
      </c>
      <c r="BH340" s="123">
        <f t="shared" si="113"/>
        <v>1.26</v>
      </c>
      <c r="BI340" s="122"/>
      <c r="BJ340" s="123"/>
      <c r="BK340" s="122"/>
      <c r="BP340" s="17">
        <f>SUM(BP281:BP339)</f>
        <v>672</v>
      </c>
      <c r="BQ340" s="11">
        <f>SUM(BQ281:BQ339)</f>
        <v>12.491680000000001</v>
      </c>
      <c r="BR340" s="17">
        <f>SUM(BR281:BR339)</f>
        <v>672</v>
      </c>
      <c r="BS340" s="11">
        <f>SUM(BS281:BS339)</f>
        <v>12.491680000000001</v>
      </c>
      <c r="BT340" s="146"/>
      <c r="BZ340" s="7" t="s">
        <v>119</v>
      </c>
      <c r="CA340" s="6">
        <f>SUM(BY297:BY329,BY257:BY282,BY216:BY246)</f>
        <v>562</v>
      </c>
      <c r="CB340" s="5">
        <f>SUM(BZ297:BZ329,BZ257:BZ282,BZ216:BZ246)</f>
        <v>22.056000000000001</v>
      </c>
      <c r="CE340" s="13">
        <v>10</v>
      </c>
      <c r="CF340" s="13">
        <v>23</v>
      </c>
      <c r="CG340" s="13">
        <v>400</v>
      </c>
      <c r="CH340" s="13">
        <v>1</v>
      </c>
      <c r="CI340" s="14">
        <f t="shared" si="111"/>
        <v>9.1999999999999998E-2</v>
      </c>
      <c r="CJ340" s="13"/>
      <c r="CK340" s="14"/>
      <c r="CL340" s="13"/>
      <c r="CR340" s="4"/>
      <c r="CS340" s="3">
        <f>SUM(CS336:CS339)</f>
        <v>1970</v>
      </c>
      <c r="CT340" s="53">
        <f>SUM(CT336:CT339)</f>
        <v>36.325720000000004</v>
      </c>
    </row>
    <row r="341" spans="47:98" ht="15" customHeight="1" thickTop="1" thickBot="1" x14ac:dyDescent="0.3">
      <c r="AU341" s="231"/>
      <c r="AV341" s="231"/>
      <c r="AW341" s="231"/>
      <c r="AX341" s="231"/>
      <c r="AY341" s="231"/>
      <c r="AZ341" s="231"/>
      <c r="BA341" s="231"/>
      <c r="BB341" s="231"/>
      <c r="BD341" s="122">
        <v>2</v>
      </c>
      <c r="BE341" s="122">
        <v>3</v>
      </c>
      <c r="BF341" s="122">
        <v>400</v>
      </c>
      <c r="BG341" s="122">
        <v>225</v>
      </c>
      <c r="BH341" s="123">
        <f t="shared" si="113"/>
        <v>0.54</v>
      </c>
      <c r="BI341" s="122"/>
      <c r="BJ341" s="123"/>
      <c r="BK341" s="122"/>
      <c r="BZ341" s="4"/>
      <c r="CA341" s="3">
        <f>SUM(CA339:CA340)</f>
        <v>2379</v>
      </c>
      <c r="CB341" s="53">
        <f>SUM(CB339:CB340)</f>
        <v>34.481400000000001</v>
      </c>
      <c r="CE341" s="13">
        <v>10</v>
      </c>
      <c r="CF341" s="13">
        <v>20</v>
      </c>
      <c r="CG341" s="13">
        <v>400</v>
      </c>
      <c r="CH341" s="13">
        <v>9</v>
      </c>
      <c r="CI341" s="14">
        <f t="shared" si="111"/>
        <v>0.72</v>
      </c>
      <c r="CJ341" s="13"/>
      <c r="CK341" s="14"/>
      <c r="CL341" s="13"/>
    </row>
    <row r="342" spans="47:98" ht="15" customHeight="1" thickTop="1" x14ac:dyDescent="0.25">
      <c r="AU342" s="28" t="s">
        <v>18</v>
      </c>
      <c r="AV342" s="27" t="s">
        <v>100</v>
      </c>
      <c r="AW342" s="26"/>
      <c r="AX342" s="26"/>
      <c r="AY342" s="26"/>
      <c r="AZ342" s="26"/>
      <c r="BA342" s="26"/>
      <c r="BB342" s="26"/>
      <c r="BD342" s="13">
        <v>10</v>
      </c>
      <c r="BE342" s="13">
        <v>25</v>
      </c>
      <c r="BF342" s="13">
        <v>400</v>
      </c>
      <c r="BG342" s="13">
        <v>5</v>
      </c>
      <c r="BH342" s="14">
        <f t="shared" ref="BH342:BH362" si="115">BD342*BE342*BF342*BG342/1000000</f>
        <v>0.5</v>
      </c>
      <c r="BI342" s="13"/>
      <c r="BJ342" s="14"/>
      <c r="BK342" s="13"/>
      <c r="BM342" s="231" t="s">
        <v>19</v>
      </c>
      <c r="BN342" s="231"/>
      <c r="BO342" s="231"/>
      <c r="BP342" s="231"/>
      <c r="BQ342" s="231"/>
      <c r="BR342" s="231"/>
      <c r="BS342" s="231"/>
      <c r="BT342" s="231"/>
      <c r="CE342" s="13">
        <v>8</v>
      </c>
      <c r="CF342" s="13">
        <v>20</v>
      </c>
      <c r="CG342" s="13">
        <v>400</v>
      </c>
      <c r="CH342" s="13">
        <v>1</v>
      </c>
      <c r="CI342" s="14">
        <f t="shared" si="111"/>
        <v>6.4000000000000001E-2</v>
      </c>
      <c r="CJ342" s="13"/>
      <c r="CK342" s="14"/>
      <c r="CL342" s="13"/>
    </row>
    <row r="343" spans="47:98" ht="15" customHeight="1" x14ac:dyDescent="0.25">
      <c r="AU343" s="28" t="s">
        <v>16</v>
      </c>
      <c r="AV343" s="27" t="s">
        <v>101</v>
      </c>
      <c r="AW343" s="26"/>
      <c r="AX343" s="26"/>
      <c r="AY343" s="26"/>
      <c r="AZ343" s="26"/>
      <c r="BA343" s="26"/>
      <c r="BB343" s="26"/>
      <c r="BD343" s="13">
        <v>13</v>
      </c>
      <c r="BE343" s="13">
        <v>25</v>
      </c>
      <c r="BF343" s="13">
        <v>400</v>
      </c>
      <c r="BG343" s="13">
        <v>2</v>
      </c>
      <c r="BH343" s="14">
        <f t="shared" si="115"/>
        <v>0.26</v>
      </c>
      <c r="BI343" s="13"/>
      <c r="BJ343" s="14"/>
      <c r="BK343" s="13"/>
      <c r="BM343" s="231"/>
      <c r="BN343" s="231"/>
      <c r="BO343" s="231"/>
      <c r="BP343" s="231"/>
      <c r="BQ343" s="231"/>
      <c r="BR343" s="231"/>
      <c r="BS343" s="231"/>
      <c r="BT343" s="231"/>
      <c r="CE343" s="13">
        <v>7</v>
      </c>
      <c r="CF343" s="13">
        <v>20</v>
      </c>
      <c r="CG343" s="13">
        <v>400</v>
      </c>
      <c r="CH343" s="13">
        <v>4</v>
      </c>
      <c r="CI343" s="14">
        <f t="shared" si="111"/>
        <v>0.224</v>
      </c>
      <c r="CJ343" s="13"/>
      <c r="CK343" s="14"/>
      <c r="CL343" s="13"/>
    </row>
    <row r="344" spans="47:98" ht="15" customHeight="1" x14ac:dyDescent="0.25">
      <c r="AU344" s="43"/>
      <c r="AV344" s="25"/>
      <c r="AW344" s="25"/>
      <c r="AX344" s="25"/>
      <c r="AY344" s="25"/>
      <c r="AZ344" s="225" t="s">
        <v>99</v>
      </c>
      <c r="BA344" s="225"/>
      <c r="BB344" s="225"/>
      <c r="BD344" s="13">
        <v>2.2000000000000002</v>
      </c>
      <c r="BE344" s="13">
        <v>25</v>
      </c>
      <c r="BF344" s="13">
        <v>400</v>
      </c>
      <c r="BG344" s="13">
        <v>1</v>
      </c>
      <c r="BH344" s="14">
        <f t="shared" si="115"/>
        <v>2.2000000000000002E-2</v>
      </c>
      <c r="BI344" s="13"/>
      <c r="BJ344" s="14"/>
      <c r="BK344" s="13"/>
      <c r="BM344" s="28" t="s">
        <v>18</v>
      </c>
      <c r="BN344" s="27" t="s">
        <v>74</v>
      </c>
      <c r="BO344" s="26"/>
      <c r="BP344" s="26"/>
      <c r="BQ344" s="26"/>
      <c r="BR344" s="26"/>
      <c r="BS344" s="26"/>
      <c r="BT344" s="26"/>
      <c r="CE344" s="13">
        <v>2.2000000000000002</v>
      </c>
      <c r="CF344" s="13">
        <v>20</v>
      </c>
      <c r="CG344" s="13">
        <v>400</v>
      </c>
      <c r="CH344" s="13">
        <v>4</v>
      </c>
      <c r="CI344" s="14">
        <f t="shared" si="111"/>
        <v>7.0400000000000004E-2</v>
      </c>
      <c r="CJ344" s="13"/>
      <c r="CK344" s="14"/>
      <c r="CL344" s="13"/>
    </row>
    <row r="345" spans="47:98" ht="15" customHeight="1" x14ac:dyDescent="0.25">
      <c r="AU345" s="226" t="s">
        <v>13</v>
      </c>
      <c r="AV345" s="227"/>
      <c r="AW345" s="228"/>
      <c r="AX345" s="227" t="s">
        <v>12</v>
      </c>
      <c r="AY345" s="228"/>
      <c r="AZ345" s="227" t="s">
        <v>12</v>
      </c>
      <c r="BA345" s="228"/>
      <c r="BB345" s="229" t="s">
        <v>11</v>
      </c>
      <c r="BD345" s="13">
        <v>10</v>
      </c>
      <c r="BE345" s="13">
        <v>28</v>
      </c>
      <c r="BF345" s="13">
        <v>400</v>
      </c>
      <c r="BG345" s="13">
        <v>1</v>
      </c>
      <c r="BH345" s="14">
        <f t="shared" si="115"/>
        <v>0.112</v>
      </c>
      <c r="BI345" s="13"/>
      <c r="BJ345" s="14"/>
      <c r="BK345" s="13"/>
      <c r="BM345" s="28" t="s">
        <v>16</v>
      </c>
      <c r="BN345" s="27" t="s">
        <v>93</v>
      </c>
      <c r="BO345" s="26"/>
      <c r="BP345" s="26"/>
      <c r="BQ345" s="26"/>
      <c r="BR345" s="26"/>
      <c r="BS345" s="26"/>
      <c r="BT345" s="26"/>
      <c r="CE345" s="13">
        <v>4.5</v>
      </c>
      <c r="CF345" s="13">
        <v>20</v>
      </c>
      <c r="CG345" s="13">
        <v>400</v>
      </c>
      <c r="CH345" s="13">
        <v>4</v>
      </c>
      <c r="CI345" s="14">
        <f t="shared" si="111"/>
        <v>0.14399999999999999</v>
      </c>
      <c r="CJ345" s="13"/>
      <c r="CK345" s="14"/>
      <c r="CL345" s="13"/>
    </row>
    <row r="346" spans="47:98" ht="15" customHeight="1" x14ac:dyDescent="0.25">
      <c r="AU346" s="24" t="s">
        <v>10</v>
      </c>
      <c r="AV346" s="23" t="s">
        <v>9</v>
      </c>
      <c r="AW346" s="23" t="s">
        <v>8</v>
      </c>
      <c r="AX346" s="22" t="s">
        <v>7</v>
      </c>
      <c r="AY346" s="21" t="s">
        <v>6</v>
      </c>
      <c r="AZ346" s="22" t="s">
        <v>7</v>
      </c>
      <c r="BA346" s="21" t="s">
        <v>6</v>
      </c>
      <c r="BB346" s="230"/>
      <c r="BD346" s="13">
        <v>4.5</v>
      </c>
      <c r="BE346" s="13">
        <v>25</v>
      </c>
      <c r="BF346" s="13">
        <v>400</v>
      </c>
      <c r="BG346" s="13">
        <v>1</v>
      </c>
      <c r="BH346" s="14">
        <f t="shared" si="115"/>
        <v>4.4999999999999998E-2</v>
      </c>
      <c r="BI346" s="13"/>
      <c r="BJ346" s="14"/>
      <c r="BK346" s="13"/>
      <c r="BM346" s="43"/>
      <c r="BN346" s="25"/>
      <c r="BO346" s="25"/>
      <c r="BP346" s="25"/>
      <c r="BQ346" s="25"/>
      <c r="BR346" s="225" t="s">
        <v>126</v>
      </c>
      <c r="BS346" s="225"/>
      <c r="BT346" s="225"/>
      <c r="CE346" s="13">
        <v>3.5</v>
      </c>
      <c r="CF346" s="13">
        <v>20</v>
      </c>
      <c r="CG346" s="13">
        <v>400</v>
      </c>
      <c r="CH346" s="13">
        <v>1</v>
      </c>
      <c r="CI346" s="14">
        <f t="shared" si="111"/>
        <v>2.8000000000000001E-2</v>
      </c>
      <c r="CJ346" s="13"/>
      <c r="CK346" s="14"/>
      <c r="CL346" s="13"/>
    </row>
    <row r="347" spans="47:98" ht="15" customHeight="1" x14ac:dyDescent="0.25">
      <c r="AU347" s="13">
        <v>12</v>
      </c>
      <c r="AV347" s="13">
        <v>29</v>
      </c>
      <c r="AW347" s="13">
        <v>400</v>
      </c>
      <c r="AX347" s="13">
        <v>1</v>
      </c>
      <c r="AY347" s="14">
        <f t="shared" ref="AY347:AY375" si="116">AU347*AV347*AW347*AX347/1000000</f>
        <v>0.13919999999999999</v>
      </c>
      <c r="AZ347" s="13"/>
      <c r="BA347" s="14"/>
      <c r="BB347" s="13"/>
      <c r="BD347" s="13">
        <v>15</v>
      </c>
      <c r="BE347" s="13">
        <v>33</v>
      </c>
      <c r="BF347" s="13">
        <v>400</v>
      </c>
      <c r="BG347" s="13">
        <v>4</v>
      </c>
      <c r="BH347" s="14">
        <f t="shared" si="115"/>
        <v>0.79200000000000004</v>
      </c>
      <c r="BI347" s="13"/>
      <c r="BJ347" s="14"/>
      <c r="BK347" s="13"/>
      <c r="BM347" s="226" t="s">
        <v>13</v>
      </c>
      <c r="BN347" s="227"/>
      <c r="BO347" s="228"/>
      <c r="BP347" s="227" t="s">
        <v>12</v>
      </c>
      <c r="BQ347" s="228"/>
      <c r="BR347" s="227" t="s">
        <v>12</v>
      </c>
      <c r="BS347" s="228"/>
      <c r="BT347" s="229" t="s">
        <v>11</v>
      </c>
      <c r="CE347" s="13">
        <v>13</v>
      </c>
      <c r="CF347" s="13">
        <v>15</v>
      </c>
      <c r="CG347" s="13">
        <v>400</v>
      </c>
      <c r="CH347" s="13">
        <v>2</v>
      </c>
      <c r="CI347" s="14">
        <f t="shared" si="111"/>
        <v>0.156</v>
      </c>
      <c r="CJ347" s="13"/>
      <c r="CK347" s="14"/>
      <c r="CL347" s="13"/>
    </row>
    <row r="348" spans="47:98" ht="15" customHeight="1" x14ac:dyDescent="0.25">
      <c r="AU348" s="13">
        <v>12</v>
      </c>
      <c r="AV348" s="13">
        <v>25</v>
      </c>
      <c r="AW348" s="13">
        <v>400</v>
      </c>
      <c r="AX348" s="13">
        <v>1</v>
      </c>
      <c r="AY348" s="14">
        <f t="shared" si="116"/>
        <v>0.12</v>
      </c>
      <c r="AZ348" s="13"/>
      <c r="BA348" s="14"/>
      <c r="BB348" s="13"/>
      <c r="BD348" s="13">
        <v>2.2000000000000002</v>
      </c>
      <c r="BE348" s="13">
        <v>33</v>
      </c>
      <c r="BF348" s="13">
        <v>400</v>
      </c>
      <c r="BG348" s="13">
        <v>1</v>
      </c>
      <c r="BH348" s="14">
        <f t="shared" si="115"/>
        <v>2.9040000000000003E-2</v>
      </c>
      <c r="BI348" s="13"/>
      <c r="BJ348" s="14"/>
      <c r="BK348" s="13"/>
      <c r="BM348" s="24" t="s">
        <v>10</v>
      </c>
      <c r="BN348" s="23" t="s">
        <v>9</v>
      </c>
      <c r="BO348" s="23" t="s">
        <v>8</v>
      </c>
      <c r="BP348" s="22" t="s">
        <v>7</v>
      </c>
      <c r="BQ348" s="21" t="s">
        <v>6</v>
      </c>
      <c r="BR348" s="22" t="s">
        <v>7</v>
      </c>
      <c r="BS348" s="21" t="s">
        <v>6</v>
      </c>
      <c r="BT348" s="230"/>
      <c r="CE348" s="13">
        <v>10</v>
      </c>
      <c r="CF348" s="13">
        <v>15</v>
      </c>
      <c r="CG348" s="13">
        <v>400</v>
      </c>
      <c r="CH348" s="13">
        <v>8</v>
      </c>
      <c r="CI348" s="14">
        <f t="shared" si="111"/>
        <v>0.48</v>
      </c>
      <c r="CJ348" s="13"/>
      <c r="CK348" s="14"/>
      <c r="CL348" s="13"/>
    </row>
    <row r="349" spans="47:98" ht="15" customHeight="1" x14ac:dyDescent="0.25">
      <c r="AU349" s="13">
        <v>10</v>
      </c>
      <c r="AV349" s="13">
        <v>25</v>
      </c>
      <c r="AW349" s="13">
        <v>400</v>
      </c>
      <c r="AX349" s="13">
        <v>1</v>
      </c>
      <c r="AY349" s="14">
        <f t="shared" si="116"/>
        <v>0.1</v>
      </c>
      <c r="AZ349" s="13"/>
      <c r="BA349" s="14"/>
      <c r="BB349" s="13"/>
      <c r="BD349" s="13">
        <v>10</v>
      </c>
      <c r="BE349" s="13">
        <v>33</v>
      </c>
      <c r="BF349" s="13">
        <v>400</v>
      </c>
      <c r="BG349" s="13">
        <v>2</v>
      </c>
      <c r="BH349" s="14">
        <f t="shared" si="115"/>
        <v>0.26400000000000001</v>
      </c>
      <c r="BI349" s="13"/>
      <c r="BJ349" s="14"/>
      <c r="BK349" s="13"/>
      <c r="BM349" s="13">
        <v>10</v>
      </c>
      <c r="BN349" s="13">
        <v>27</v>
      </c>
      <c r="BO349" s="13">
        <v>400</v>
      </c>
      <c r="BP349" s="13">
        <v>1</v>
      </c>
      <c r="BQ349" s="14">
        <f t="shared" ref="BQ349:BQ375" si="117">BM349*BN349*BO349*BP349/1000000</f>
        <v>0.108</v>
      </c>
      <c r="BR349" s="13"/>
      <c r="BS349" s="14"/>
      <c r="BT349" s="13"/>
      <c r="CE349" s="13">
        <v>4.5</v>
      </c>
      <c r="CF349" s="13">
        <v>15</v>
      </c>
      <c r="CG349" s="13">
        <v>400</v>
      </c>
      <c r="CH349" s="13">
        <v>4</v>
      </c>
      <c r="CI349" s="14">
        <f t="shared" si="111"/>
        <v>0.108</v>
      </c>
      <c r="CJ349" s="13"/>
      <c r="CK349" s="14"/>
      <c r="CL349" s="13"/>
    </row>
    <row r="350" spans="47:98" ht="15" customHeight="1" x14ac:dyDescent="0.25">
      <c r="AU350" s="13">
        <v>12</v>
      </c>
      <c r="AV350" s="13">
        <v>20</v>
      </c>
      <c r="AW350" s="13">
        <v>400</v>
      </c>
      <c r="AX350" s="13">
        <v>1</v>
      </c>
      <c r="AY350" s="14">
        <f t="shared" si="116"/>
        <v>9.6000000000000002E-2</v>
      </c>
      <c r="AZ350" s="13"/>
      <c r="BA350" s="14"/>
      <c r="BB350" s="13"/>
      <c r="BD350" s="13">
        <v>3.5</v>
      </c>
      <c r="BE350" s="13">
        <v>33</v>
      </c>
      <c r="BF350" s="13">
        <v>400</v>
      </c>
      <c r="BG350" s="13">
        <v>1</v>
      </c>
      <c r="BH350" s="14">
        <f t="shared" si="115"/>
        <v>4.6199999999999998E-2</v>
      </c>
      <c r="BI350" s="13"/>
      <c r="BJ350" s="14"/>
      <c r="BK350" s="13"/>
      <c r="BM350" s="13">
        <v>7</v>
      </c>
      <c r="BN350" s="13">
        <v>29</v>
      </c>
      <c r="BO350" s="13">
        <v>400</v>
      </c>
      <c r="BP350" s="13">
        <v>1</v>
      </c>
      <c r="BQ350" s="14">
        <f t="shared" si="117"/>
        <v>8.1199999999999994E-2</v>
      </c>
      <c r="BR350" s="13"/>
      <c r="BS350" s="14"/>
      <c r="BT350" s="13"/>
      <c r="CE350" s="13">
        <v>2.2000000000000002</v>
      </c>
      <c r="CF350" s="13">
        <v>15</v>
      </c>
      <c r="CG350" s="13">
        <v>400</v>
      </c>
      <c r="CH350" s="13">
        <v>2</v>
      </c>
      <c r="CI350" s="14">
        <f t="shared" si="111"/>
        <v>2.64E-2</v>
      </c>
      <c r="CJ350" s="13"/>
      <c r="CK350" s="14"/>
      <c r="CL350" s="13"/>
    </row>
    <row r="351" spans="47:98" ht="15" customHeight="1" x14ac:dyDescent="0.25">
      <c r="AU351" s="13">
        <v>6</v>
      </c>
      <c r="AV351" s="13">
        <v>20</v>
      </c>
      <c r="AW351" s="13">
        <v>400</v>
      </c>
      <c r="AX351" s="13">
        <v>2</v>
      </c>
      <c r="AY351" s="14">
        <f t="shared" si="116"/>
        <v>9.6000000000000002E-2</v>
      </c>
      <c r="AZ351" s="13"/>
      <c r="BA351" s="14"/>
      <c r="BB351" s="13"/>
      <c r="BD351" s="13">
        <v>13</v>
      </c>
      <c r="BE351" s="13">
        <v>33</v>
      </c>
      <c r="BF351" s="13">
        <v>400</v>
      </c>
      <c r="BG351" s="13">
        <v>2</v>
      </c>
      <c r="BH351" s="14">
        <f t="shared" si="115"/>
        <v>0.34320000000000001</v>
      </c>
      <c r="BI351" s="13"/>
      <c r="BJ351" s="14"/>
      <c r="BK351" s="13"/>
      <c r="BM351" s="13">
        <v>7</v>
      </c>
      <c r="BN351" s="13">
        <v>25</v>
      </c>
      <c r="BO351" s="13">
        <v>400</v>
      </c>
      <c r="BP351" s="13">
        <v>1</v>
      </c>
      <c r="BQ351" s="14">
        <f t="shared" si="117"/>
        <v>7.0000000000000007E-2</v>
      </c>
      <c r="BR351" s="13"/>
      <c r="BS351" s="14"/>
      <c r="BT351" s="13"/>
      <c r="CE351" s="13">
        <v>1.7</v>
      </c>
      <c r="CF351" s="13">
        <v>15</v>
      </c>
      <c r="CG351" s="13">
        <v>400</v>
      </c>
      <c r="CH351" s="13">
        <v>1</v>
      </c>
      <c r="CI351" s="14">
        <f t="shared" si="111"/>
        <v>1.0200000000000001E-2</v>
      </c>
      <c r="CJ351" s="13"/>
      <c r="CK351" s="14"/>
      <c r="CL351" s="13"/>
    </row>
    <row r="352" spans="47:98" ht="15" customHeight="1" x14ac:dyDescent="0.25">
      <c r="AU352" s="13">
        <v>10</v>
      </c>
      <c r="AV352" s="13">
        <v>20</v>
      </c>
      <c r="AW352" s="13">
        <v>400</v>
      </c>
      <c r="AX352" s="13">
        <v>1</v>
      </c>
      <c r="AY352" s="14">
        <f t="shared" si="116"/>
        <v>0.08</v>
      </c>
      <c r="AZ352" s="13"/>
      <c r="BA352" s="14"/>
      <c r="BB352" s="41"/>
      <c r="BD352" s="13">
        <v>15</v>
      </c>
      <c r="BE352" s="13">
        <v>30</v>
      </c>
      <c r="BF352" s="13">
        <v>400</v>
      </c>
      <c r="BG352" s="13">
        <v>1</v>
      </c>
      <c r="BH352" s="14">
        <f t="shared" si="115"/>
        <v>0.18</v>
      </c>
      <c r="BI352" s="13"/>
      <c r="BJ352" s="14"/>
      <c r="BK352" s="13"/>
      <c r="BM352" s="13">
        <v>10</v>
      </c>
      <c r="BN352" s="13">
        <v>20</v>
      </c>
      <c r="BO352" s="13">
        <v>400</v>
      </c>
      <c r="BP352" s="13">
        <v>3</v>
      </c>
      <c r="BQ352" s="14">
        <f t="shared" si="117"/>
        <v>0.24</v>
      </c>
      <c r="BR352" s="13"/>
      <c r="BS352" s="14"/>
      <c r="BT352" s="13"/>
      <c r="CE352" s="13">
        <v>2.2000000000000002</v>
      </c>
      <c r="CF352" s="13">
        <v>13</v>
      </c>
      <c r="CG352" s="13">
        <v>400</v>
      </c>
      <c r="CH352" s="13">
        <v>4</v>
      </c>
      <c r="CI352" s="14">
        <f t="shared" si="111"/>
        <v>4.5760000000000002E-2</v>
      </c>
      <c r="CJ352" s="13"/>
      <c r="CK352" s="14"/>
      <c r="CL352" s="13"/>
    </row>
    <row r="353" spans="47:90" ht="15" customHeight="1" x14ac:dyDescent="0.25">
      <c r="AU353" s="13">
        <v>12</v>
      </c>
      <c r="AV353" s="13">
        <v>15</v>
      </c>
      <c r="AW353" s="13">
        <v>400</v>
      </c>
      <c r="AX353" s="13">
        <v>2</v>
      </c>
      <c r="AY353" s="14">
        <f t="shared" si="116"/>
        <v>0.14399999999999999</v>
      </c>
      <c r="AZ353" s="13"/>
      <c r="BA353" s="14"/>
      <c r="BB353" s="13"/>
      <c r="BD353" s="13">
        <v>10</v>
      </c>
      <c r="BE353" s="13">
        <v>30</v>
      </c>
      <c r="BF353" s="13">
        <v>400</v>
      </c>
      <c r="BG353" s="13">
        <v>1</v>
      </c>
      <c r="BH353" s="14">
        <f t="shared" si="115"/>
        <v>0.12</v>
      </c>
      <c r="BI353" s="13"/>
      <c r="BJ353" s="14"/>
      <c r="BK353" s="13"/>
      <c r="BM353" s="13">
        <v>3.5</v>
      </c>
      <c r="BN353" s="13">
        <v>20</v>
      </c>
      <c r="BO353" s="13">
        <v>400</v>
      </c>
      <c r="BP353" s="13">
        <v>1</v>
      </c>
      <c r="BQ353" s="14">
        <f t="shared" si="117"/>
        <v>2.8000000000000001E-2</v>
      </c>
      <c r="BR353" s="13"/>
      <c r="BS353" s="14"/>
      <c r="BT353" s="13"/>
      <c r="CE353" s="13">
        <v>1.7</v>
      </c>
      <c r="CF353" s="13">
        <v>13</v>
      </c>
      <c r="CG353" s="13">
        <v>400</v>
      </c>
      <c r="CH353" s="13">
        <v>1</v>
      </c>
      <c r="CI353" s="14">
        <f t="shared" si="111"/>
        <v>8.8400000000000006E-3</v>
      </c>
      <c r="CJ353" s="13"/>
      <c r="CK353" s="14"/>
      <c r="CL353" s="13"/>
    </row>
    <row r="354" spans="47:90" ht="15" customHeight="1" x14ac:dyDescent="0.25">
      <c r="AU354" s="13">
        <v>10</v>
      </c>
      <c r="AV354" s="13">
        <v>15</v>
      </c>
      <c r="AW354" s="13">
        <v>400</v>
      </c>
      <c r="AX354" s="13">
        <v>1</v>
      </c>
      <c r="AY354" s="14">
        <f t="shared" si="116"/>
        <v>0.06</v>
      </c>
      <c r="AZ354" s="13"/>
      <c r="BA354" s="14"/>
      <c r="BB354" s="13"/>
      <c r="BD354" s="13">
        <v>7</v>
      </c>
      <c r="BE354" s="13">
        <v>33</v>
      </c>
      <c r="BF354" s="13">
        <v>400</v>
      </c>
      <c r="BG354" s="13">
        <v>1</v>
      </c>
      <c r="BH354" s="14">
        <f t="shared" si="115"/>
        <v>9.2399999999999996E-2</v>
      </c>
      <c r="BI354" s="13"/>
      <c r="BJ354" s="14"/>
      <c r="BK354" s="13"/>
      <c r="BM354" s="13">
        <v>4.5</v>
      </c>
      <c r="BN354" s="13">
        <v>15</v>
      </c>
      <c r="BO354" s="13">
        <v>400</v>
      </c>
      <c r="BP354" s="13">
        <v>5</v>
      </c>
      <c r="BQ354" s="14">
        <f t="shared" si="117"/>
        <v>0.13500000000000001</v>
      </c>
      <c r="BR354" s="13"/>
      <c r="BS354" s="14"/>
      <c r="BT354" s="41"/>
      <c r="CE354" s="13">
        <v>10</v>
      </c>
      <c r="CF354" s="13">
        <v>10</v>
      </c>
      <c r="CG354" s="13">
        <v>400</v>
      </c>
      <c r="CH354" s="13">
        <v>2</v>
      </c>
      <c r="CI354" s="14">
        <f t="shared" si="111"/>
        <v>0.08</v>
      </c>
      <c r="CJ354" s="13"/>
      <c r="CK354" s="14"/>
      <c r="CL354" s="13"/>
    </row>
    <row r="355" spans="47:90" ht="15" customHeight="1" x14ac:dyDescent="0.25">
      <c r="AU355" s="13">
        <v>8</v>
      </c>
      <c r="AV355" s="13">
        <v>15</v>
      </c>
      <c r="AW355" s="13">
        <v>400</v>
      </c>
      <c r="AX355" s="13">
        <v>1</v>
      </c>
      <c r="AY355" s="14">
        <f t="shared" ref="AY355:AY369" si="118">AU355*AV355*AW355*AX355/1000000</f>
        <v>4.8000000000000001E-2</v>
      </c>
      <c r="AZ355" s="13"/>
      <c r="BA355" s="14"/>
      <c r="BB355" s="13"/>
      <c r="BD355" s="13">
        <v>15</v>
      </c>
      <c r="BE355" s="13">
        <v>20</v>
      </c>
      <c r="BF355" s="13">
        <v>400</v>
      </c>
      <c r="BG355" s="13">
        <v>1</v>
      </c>
      <c r="BH355" s="14">
        <f t="shared" si="115"/>
        <v>0.12</v>
      </c>
      <c r="BI355" s="13"/>
      <c r="BJ355" s="14"/>
      <c r="BK355" s="13"/>
      <c r="BM355" s="13">
        <v>10</v>
      </c>
      <c r="BN355" s="13">
        <v>15</v>
      </c>
      <c r="BO355" s="13">
        <v>400</v>
      </c>
      <c r="BP355" s="13">
        <v>2</v>
      </c>
      <c r="BQ355" s="14">
        <f t="shared" si="117"/>
        <v>0.12</v>
      </c>
      <c r="BR355" s="13"/>
      <c r="BS355" s="14"/>
      <c r="BT355" s="13"/>
      <c r="CE355" s="13">
        <v>4.5</v>
      </c>
      <c r="CF355" s="13">
        <v>10</v>
      </c>
      <c r="CG355" s="13">
        <v>400</v>
      </c>
      <c r="CH355" s="13">
        <v>52</v>
      </c>
      <c r="CI355" s="14">
        <f t="shared" si="111"/>
        <v>0.93600000000000005</v>
      </c>
      <c r="CJ355" s="13"/>
      <c r="CK355" s="14"/>
      <c r="CL355" s="41"/>
    </row>
    <row r="356" spans="47:90" ht="15" customHeight="1" x14ac:dyDescent="0.25">
      <c r="AU356" s="13">
        <v>5</v>
      </c>
      <c r="AV356" s="13">
        <v>15</v>
      </c>
      <c r="AW356" s="13">
        <v>400</v>
      </c>
      <c r="AX356" s="13">
        <v>1</v>
      </c>
      <c r="AY356" s="14">
        <f t="shared" si="118"/>
        <v>0.03</v>
      </c>
      <c r="AZ356" s="13"/>
      <c r="BA356" s="14"/>
      <c r="BB356" s="13"/>
      <c r="BD356" s="13">
        <v>8</v>
      </c>
      <c r="BE356" s="13">
        <v>20</v>
      </c>
      <c r="BF356" s="13">
        <v>400</v>
      </c>
      <c r="BG356" s="13">
        <v>1</v>
      </c>
      <c r="BH356" s="14">
        <f t="shared" si="115"/>
        <v>6.4000000000000001E-2</v>
      </c>
      <c r="BI356" s="13"/>
      <c r="BJ356" s="14"/>
      <c r="BK356" s="13"/>
      <c r="BM356" s="13">
        <v>7</v>
      </c>
      <c r="BN356" s="13">
        <v>15</v>
      </c>
      <c r="BO356" s="13">
        <v>400</v>
      </c>
      <c r="BP356" s="13">
        <v>4</v>
      </c>
      <c r="BQ356" s="14">
        <f t="shared" si="117"/>
        <v>0.16800000000000001</v>
      </c>
      <c r="BR356" s="13"/>
      <c r="BS356" s="14"/>
      <c r="BT356" s="13"/>
      <c r="CE356" s="13">
        <v>2.2000000000000002</v>
      </c>
      <c r="CF356" s="13">
        <v>10</v>
      </c>
      <c r="CG356" s="13">
        <v>400</v>
      </c>
      <c r="CH356" s="13">
        <v>22</v>
      </c>
      <c r="CI356" s="14">
        <f t="shared" si="111"/>
        <v>0.19359999999999999</v>
      </c>
      <c r="CJ356" s="13"/>
      <c r="CK356" s="14"/>
      <c r="CL356" s="41"/>
    </row>
    <row r="357" spans="47:90" ht="15" customHeight="1" x14ac:dyDescent="0.25">
      <c r="AU357" s="13">
        <v>6</v>
      </c>
      <c r="AV357" s="13">
        <v>15</v>
      </c>
      <c r="AW357" s="13">
        <v>400</v>
      </c>
      <c r="AX357" s="13">
        <v>2</v>
      </c>
      <c r="AY357" s="14">
        <f t="shared" si="118"/>
        <v>7.1999999999999995E-2</v>
      </c>
      <c r="AZ357" s="13"/>
      <c r="BA357" s="14"/>
      <c r="BB357" s="13"/>
      <c r="BD357" s="13">
        <v>3.5</v>
      </c>
      <c r="BE357" s="13">
        <v>20</v>
      </c>
      <c r="BF357" s="13">
        <v>400</v>
      </c>
      <c r="BG357" s="13">
        <v>1</v>
      </c>
      <c r="BH357" s="14">
        <f t="shared" si="115"/>
        <v>2.8000000000000001E-2</v>
      </c>
      <c r="BI357" s="13"/>
      <c r="BJ357" s="14"/>
      <c r="BK357" s="13"/>
      <c r="BM357" s="13">
        <v>4.5</v>
      </c>
      <c r="BN357" s="13">
        <v>13</v>
      </c>
      <c r="BO357" s="13">
        <v>400</v>
      </c>
      <c r="BP357" s="13">
        <v>3</v>
      </c>
      <c r="BQ357" s="14">
        <f t="shared" si="117"/>
        <v>7.0199999999999999E-2</v>
      </c>
      <c r="BR357" s="13"/>
      <c r="BS357" s="14"/>
      <c r="BT357" s="13"/>
      <c r="CE357" s="13">
        <v>7</v>
      </c>
      <c r="CF357" s="13">
        <v>10</v>
      </c>
      <c r="CG357" s="13">
        <v>400</v>
      </c>
      <c r="CH357" s="13">
        <v>2</v>
      </c>
      <c r="CI357" s="14">
        <f t="shared" si="111"/>
        <v>5.6000000000000001E-2</v>
      </c>
      <c r="CJ357" s="13"/>
      <c r="CK357" s="14"/>
      <c r="CL357" s="41"/>
    </row>
    <row r="358" spans="47:90" ht="15" customHeight="1" x14ac:dyDescent="0.25">
      <c r="AU358" s="13">
        <v>10</v>
      </c>
      <c r="AV358" s="13">
        <v>12</v>
      </c>
      <c r="AW358" s="13">
        <v>400</v>
      </c>
      <c r="AX358" s="13">
        <v>1</v>
      </c>
      <c r="AY358" s="14">
        <f t="shared" si="118"/>
        <v>4.8000000000000001E-2</v>
      </c>
      <c r="AZ358" s="13"/>
      <c r="BA358" s="14"/>
      <c r="BB358" s="13"/>
      <c r="BD358" s="13">
        <v>2.2000000000000002</v>
      </c>
      <c r="BE358" s="13">
        <v>20</v>
      </c>
      <c r="BF358" s="13">
        <v>400</v>
      </c>
      <c r="BG358" s="13">
        <v>1</v>
      </c>
      <c r="BH358" s="14">
        <f t="shared" si="115"/>
        <v>1.7600000000000001E-2</v>
      </c>
      <c r="BI358" s="13"/>
      <c r="BJ358" s="14"/>
      <c r="BK358" s="13"/>
      <c r="BM358" s="13">
        <v>4.5</v>
      </c>
      <c r="BN358" s="13">
        <v>10</v>
      </c>
      <c r="BO358" s="13">
        <v>400</v>
      </c>
      <c r="BP358" s="13">
        <v>8</v>
      </c>
      <c r="BQ358" s="14">
        <f t="shared" si="117"/>
        <v>0.14399999999999999</v>
      </c>
      <c r="BR358" s="13"/>
      <c r="BS358" s="14"/>
      <c r="BT358" s="41"/>
      <c r="CE358" s="13">
        <v>1.7</v>
      </c>
      <c r="CF358" s="13">
        <v>10</v>
      </c>
      <c r="CG358" s="13">
        <v>400</v>
      </c>
      <c r="CH358" s="13">
        <v>4</v>
      </c>
      <c r="CI358" s="14">
        <f t="shared" si="111"/>
        <v>2.7199999999999998E-2</v>
      </c>
      <c r="CJ358" s="13"/>
      <c r="CK358" s="14"/>
      <c r="CL358" s="41"/>
    </row>
    <row r="359" spans="47:90" ht="15" customHeight="1" x14ac:dyDescent="0.25">
      <c r="AU359" s="13">
        <v>7</v>
      </c>
      <c r="AV359" s="13">
        <v>12</v>
      </c>
      <c r="AW359" s="13">
        <v>400</v>
      </c>
      <c r="AX359" s="13">
        <v>2</v>
      </c>
      <c r="AY359" s="14">
        <f t="shared" si="118"/>
        <v>6.7199999999999996E-2</v>
      </c>
      <c r="AZ359" s="13"/>
      <c r="BA359" s="14"/>
      <c r="BB359" s="13"/>
      <c r="BD359" s="13">
        <v>13</v>
      </c>
      <c r="BE359" s="13">
        <v>15</v>
      </c>
      <c r="BF359" s="13">
        <v>400</v>
      </c>
      <c r="BG359" s="13">
        <v>4</v>
      </c>
      <c r="BH359" s="14">
        <f t="shared" si="115"/>
        <v>0.312</v>
      </c>
      <c r="BI359" s="13"/>
      <c r="BJ359" s="14"/>
      <c r="BK359" s="13"/>
      <c r="BM359" s="13">
        <v>2.2000000000000002</v>
      </c>
      <c r="BN359" s="13">
        <v>10</v>
      </c>
      <c r="BO359" s="13">
        <v>400</v>
      </c>
      <c r="BP359" s="13">
        <v>6</v>
      </c>
      <c r="BQ359" s="14">
        <f t="shared" si="117"/>
        <v>5.28E-2</v>
      </c>
      <c r="BR359" s="13"/>
      <c r="BS359" s="14"/>
      <c r="BT359" s="13"/>
      <c r="CE359" s="13">
        <v>3.5</v>
      </c>
      <c r="CF359" s="13">
        <v>10</v>
      </c>
      <c r="CG359" s="13">
        <v>400</v>
      </c>
      <c r="CH359" s="13">
        <v>4</v>
      </c>
      <c r="CI359" s="14">
        <f t="shared" si="111"/>
        <v>5.6000000000000001E-2</v>
      </c>
      <c r="CJ359" s="13"/>
      <c r="CK359" s="14"/>
      <c r="CL359" s="41"/>
    </row>
    <row r="360" spans="47:90" ht="15" customHeight="1" x14ac:dyDescent="0.25">
      <c r="AU360" s="13">
        <v>6</v>
      </c>
      <c r="AV360" s="13">
        <v>12</v>
      </c>
      <c r="AW360" s="13">
        <v>400</v>
      </c>
      <c r="AX360" s="13">
        <v>3</v>
      </c>
      <c r="AY360" s="14">
        <f t="shared" si="118"/>
        <v>8.6400000000000005E-2</v>
      </c>
      <c r="AZ360" s="13"/>
      <c r="BA360" s="14"/>
      <c r="BB360" s="13"/>
      <c r="BD360" s="13">
        <v>8</v>
      </c>
      <c r="BE360" s="13">
        <v>15</v>
      </c>
      <c r="BF360" s="13">
        <v>400</v>
      </c>
      <c r="BG360" s="13">
        <v>2</v>
      </c>
      <c r="BH360" s="14">
        <f t="shared" si="115"/>
        <v>9.6000000000000002E-2</v>
      </c>
      <c r="BI360" s="13"/>
      <c r="BJ360" s="14"/>
      <c r="BK360" s="13"/>
      <c r="BM360" s="122">
        <v>5</v>
      </c>
      <c r="BN360" s="122">
        <v>7</v>
      </c>
      <c r="BO360" s="122">
        <v>400</v>
      </c>
      <c r="BP360" s="122">
        <v>4</v>
      </c>
      <c r="BQ360" s="123">
        <f t="shared" si="117"/>
        <v>5.6000000000000001E-2</v>
      </c>
      <c r="BR360" s="122"/>
      <c r="BS360" s="123"/>
      <c r="BT360" s="126"/>
      <c r="CE360" s="13">
        <v>13</v>
      </c>
      <c r="CF360" s="13">
        <v>25</v>
      </c>
      <c r="CG360" s="13">
        <v>400</v>
      </c>
      <c r="CH360" s="13">
        <v>2</v>
      </c>
      <c r="CI360" s="14">
        <f t="shared" si="111"/>
        <v>0.26</v>
      </c>
      <c r="CJ360" s="13"/>
      <c r="CK360" s="14"/>
      <c r="CL360" s="41"/>
    </row>
    <row r="361" spans="47:90" ht="15" customHeight="1" x14ac:dyDescent="0.25">
      <c r="AU361" s="13">
        <v>5</v>
      </c>
      <c r="AV361" s="13">
        <v>12</v>
      </c>
      <c r="AW361" s="13">
        <v>400</v>
      </c>
      <c r="AX361" s="13">
        <v>1</v>
      </c>
      <c r="AY361" s="14">
        <f t="shared" si="118"/>
        <v>2.4E-2</v>
      </c>
      <c r="AZ361" s="13"/>
      <c r="BA361" s="14"/>
      <c r="BB361" s="13"/>
      <c r="BD361" s="13">
        <v>2.2000000000000002</v>
      </c>
      <c r="BE361" s="13">
        <v>15</v>
      </c>
      <c r="BF361" s="13">
        <v>400</v>
      </c>
      <c r="BG361" s="13">
        <v>2</v>
      </c>
      <c r="BH361" s="14">
        <f t="shared" si="115"/>
        <v>2.64E-2</v>
      </c>
      <c r="BI361" s="13"/>
      <c r="BJ361" s="14"/>
      <c r="BK361" s="13"/>
      <c r="BM361" s="122">
        <v>3</v>
      </c>
      <c r="BN361" s="122">
        <v>5</v>
      </c>
      <c r="BO361" s="122">
        <v>400</v>
      </c>
      <c r="BP361" s="122">
        <v>20</v>
      </c>
      <c r="BQ361" s="123">
        <f t="shared" si="117"/>
        <v>0.12</v>
      </c>
      <c r="BR361" s="122"/>
      <c r="BS361" s="123"/>
      <c r="BT361" s="126"/>
      <c r="CE361" s="13">
        <v>15</v>
      </c>
      <c r="CF361" s="13">
        <v>15</v>
      </c>
      <c r="CG361" s="13">
        <v>400</v>
      </c>
      <c r="CH361" s="13">
        <v>1</v>
      </c>
      <c r="CI361" s="14">
        <f t="shared" si="111"/>
        <v>0.09</v>
      </c>
      <c r="CJ361" s="13"/>
      <c r="CK361" s="14"/>
      <c r="CL361" s="41"/>
    </row>
    <row r="362" spans="47:90" ht="15" customHeight="1" x14ac:dyDescent="0.25">
      <c r="AU362" s="13">
        <v>7</v>
      </c>
      <c r="AV362" s="13">
        <v>10</v>
      </c>
      <c r="AW362" s="13">
        <v>400</v>
      </c>
      <c r="AX362" s="13">
        <v>1</v>
      </c>
      <c r="AY362" s="14">
        <f t="shared" si="118"/>
        <v>2.8000000000000001E-2</v>
      </c>
      <c r="AZ362" s="13"/>
      <c r="BA362" s="14"/>
      <c r="BB362" s="13"/>
      <c r="BD362" s="13">
        <v>10</v>
      </c>
      <c r="BE362" s="13">
        <v>15</v>
      </c>
      <c r="BF362" s="13">
        <v>400</v>
      </c>
      <c r="BG362" s="13">
        <v>8</v>
      </c>
      <c r="BH362" s="14">
        <f t="shared" si="115"/>
        <v>0.48</v>
      </c>
      <c r="BI362" s="13"/>
      <c r="BJ362" s="14"/>
      <c r="BK362" s="13"/>
      <c r="BM362" s="13">
        <v>15</v>
      </c>
      <c r="BN362" s="13">
        <v>20</v>
      </c>
      <c r="BO362" s="13">
        <v>400</v>
      </c>
      <c r="BP362" s="13">
        <v>1</v>
      </c>
      <c r="BQ362" s="14">
        <f t="shared" si="117"/>
        <v>0.12</v>
      </c>
      <c r="BR362" s="13"/>
      <c r="BS362" s="14"/>
      <c r="BT362" s="13"/>
      <c r="CE362" s="13">
        <v>13</v>
      </c>
      <c r="CF362" s="13">
        <v>20</v>
      </c>
      <c r="CG362" s="13">
        <v>400</v>
      </c>
      <c r="CH362" s="13">
        <v>3</v>
      </c>
      <c r="CI362" s="14">
        <f t="shared" si="111"/>
        <v>0.312</v>
      </c>
      <c r="CJ362" s="13"/>
      <c r="CK362" s="14"/>
      <c r="CL362" s="41"/>
    </row>
    <row r="363" spans="47:90" ht="15" customHeight="1" x14ac:dyDescent="0.25">
      <c r="AU363" s="13">
        <v>6</v>
      </c>
      <c r="AV363" s="13">
        <v>10</v>
      </c>
      <c r="AW363" s="13">
        <v>400</v>
      </c>
      <c r="AX363" s="13">
        <v>7</v>
      </c>
      <c r="AY363" s="14">
        <f t="shared" si="118"/>
        <v>0.16800000000000001</v>
      </c>
      <c r="AZ363" s="13"/>
      <c r="BA363" s="14"/>
      <c r="BB363" s="13"/>
      <c r="BD363" s="13">
        <v>4.5</v>
      </c>
      <c r="BE363" s="13">
        <v>15</v>
      </c>
      <c r="BF363" s="13">
        <v>400</v>
      </c>
      <c r="BG363" s="13">
        <v>3</v>
      </c>
      <c r="BH363" s="14">
        <f t="shared" si="113"/>
        <v>8.1000000000000003E-2</v>
      </c>
      <c r="BI363" s="13"/>
      <c r="BJ363" s="14"/>
      <c r="BK363" s="13"/>
      <c r="BM363" s="13">
        <v>10</v>
      </c>
      <c r="BN363" s="13">
        <v>25</v>
      </c>
      <c r="BO363" s="13">
        <v>400</v>
      </c>
      <c r="BP363" s="13">
        <v>1</v>
      </c>
      <c r="BQ363" s="14">
        <f t="shared" si="117"/>
        <v>0.1</v>
      </c>
      <c r="BR363" s="13"/>
      <c r="BS363" s="14"/>
      <c r="BT363" s="13"/>
      <c r="CE363" s="13">
        <v>7</v>
      </c>
      <c r="CF363" s="13">
        <v>15</v>
      </c>
      <c r="CG363" s="13">
        <v>400</v>
      </c>
      <c r="CH363" s="13">
        <v>1</v>
      </c>
      <c r="CI363" s="14">
        <f t="shared" si="111"/>
        <v>4.2000000000000003E-2</v>
      </c>
      <c r="CJ363" s="13"/>
      <c r="CK363" s="14"/>
      <c r="CL363" s="41"/>
    </row>
    <row r="364" spans="47:90" ht="15" customHeight="1" x14ac:dyDescent="0.25">
      <c r="AU364" s="13">
        <v>5</v>
      </c>
      <c r="AV364" s="13">
        <v>10</v>
      </c>
      <c r="AW364" s="13">
        <v>400</v>
      </c>
      <c r="AX364" s="13">
        <v>4</v>
      </c>
      <c r="AY364" s="14">
        <f t="shared" si="118"/>
        <v>0.08</v>
      </c>
      <c r="AZ364" s="13"/>
      <c r="BA364" s="14"/>
      <c r="BB364" s="13"/>
      <c r="BD364" s="13">
        <v>3.5</v>
      </c>
      <c r="BE364" s="13">
        <v>15</v>
      </c>
      <c r="BF364" s="13">
        <v>400</v>
      </c>
      <c r="BG364" s="13">
        <v>1</v>
      </c>
      <c r="BH364" s="14">
        <f t="shared" si="113"/>
        <v>2.1000000000000001E-2</v>
      </c>
      <c r="BI364" s="13"/>
      <c r="BJ364" s="14"/>
      <c r="BK364" s="13"/>
      <c r="BM364" s="13">
        <v>10</v>
      </c>
      <c r="BN364" s="13">
        <v>13</v>
      </c>
      <c r="BO364" s="13">
        <v>400</v>
      </c>
      <c r="BP364" s="13">
        <v>1</v>
      </c>
      <c r="BQ364" s="14">
        <f t="shared" si="117"/>
        <v>5.1999999999999998E-2</v>
      </c>
      <c r="BR364" s="13"/>
      <c r="BS364" s="14"/>
      <c r="BT364" s="13"/>
      <c r="CE364" s="13">
        <v>15</v>
      </c>
      <c r="CF364" s="13">
        <v>20</v>
      </c>
      <c r="CG364" s="13">
        <v>400</v>
      </c>
      <c r="CH364" s="13">
        <v>2</v>
      </c>
      <c r="CI364" s="14">
        <f t="shared" si="111"/>
        <v>0.24</v>
      </c>
      <c r="CJ364" s="13"/>
      <c r="CK364" s="14"/>
      <c r="CL364" s="41"/>
    </row>
    <row r="365" spans="47:90" ht="15" customHeight="1" x14ac:dyDescent="0.25">
      <c r="AU365" s="13">
        <v>4</v>
      </c>
      <c r="AV365" s="13">
        <v>10</v>
      </c>
      <c r="AW365" s="13">
        <v>400</v>
      </c>
      <c r="AX365" s="13">
        <v>4</v>
      </c>
      <c r="AY365" s="14">
        <f t="shared" si="118"/>
        <v>6.4000000000000001E-2</v>
      </c>
      <c r="AZ365" s="13"/>
      <c r="BA365" s="14"/>
      <c r="BB365" s="13"/>
      <c r="BD365" s="13">
        <v>1.7</v>
      </c>
      <c r="BE365" s="13">
        <v>15</v>
      </c>
      <c r="BF365" s="13">
        <v>400</v>
      </c>
      <c r="BG365" s="13">
        <v>1</v>
      </c>
      <c r="BH365" s="14">
        <f t="shared" si="113"/>
        <v>1.0200000000000001E-2</v>
      </c>
      <c r="BI365" s="13"/>
      <c r="BJ365" s="14"/>
      <c r="BK365" s="13"/>
      <c r="BM365" s="13">
        <v>3.5</v>
      </c>
      <c r="BN365" s="13">
        <v>10</v>
      </c>
      <c r="BO365" s="13">
        <v>400</v>
      </c>
      <c r="BP365" s="13">
        <v>2</v>
      </c>
      <c r="BQ365" s="14">
        <f t="shared" si="117"/>
        <v>2.8000000000000001E-2</v>
      </c>
      <c r="BR365" s="13"/>
      <c r="BS365" s="14"/>
      <c r="BT365" s="13"/>
      <c r="CE365" s="122">
        <v>5</v>
      </c>
      <c r="CF365" s="122">
        <v>7</v>
      </c>
      <c r="CG365" s="122">
        <v>400</v>
      </c>
      <c r="CH365" s="122">
        <v>48</v>
      </c>
      <c r="CI365" s="123">
        <f t="shared" si="111"/>
        <v>0.67200000000000004</v>
      </c>
      <c r="CJ365" s="122"/>
      <c r="CK365" s="123"/>
      <c r="CL365" s="126"/>
    </row>
    <row r="366" spans="47:90" ht="15" customHeight="1" x14ac:dyDescent="0.25">
      <c r="AU366" s="13">
        <v>2</v>
      </c>
      <c r="AV366" s="13">
        <v>10</v>
      </c>
      <c r="AW366" s="13">
        <v>400</v>
      </c>
      <c r="AX366" s="13">
        <v>7</v>
      </c>
      <c r="AY366" s="14">
        <f t="shared" si="118"/>
        <v>5.6000000000000001E-2</v>
      </c>
      <c r="AZ366" s="13"/>
      <c r="BA366" s="14"/>
      <c r="BB366" s="13"/>
      <c r="BD366" s="13">
        <v>3.5</v>
      </c>
      <c r="BE366" s="13">
        <v>15</v>
      </c>
      <c r="BF366" s="13">
        <v>400</v>
      </c>
      <c r="BG366" s="13">
        <v>1</v>
      </c>
      <c r="BH366" s="14">
        <f t="shared" si="113"/>
        <v>2.1000000000000001E-2</v>
      </c>
      <c r="BI366" s="13"/>
      <c r="BJ366" s="14"/>
      <c r="BK366" s="13"/>
      <c r="BM366" s="13">
        <v>1.7</v>
      </c>
      <c r="BN366" s="13">
        <v>10</v>
      </c>
      <c r="BO366" s="13">
        <v>400</v>
      </c>
      <c r="BP366" s="13">
        <v>1</v>
      </c>
      <c r="BQ366" s="14">
        <f t="shared" si="117"/>
        <v>6.7999999999999996E-3</v>
      </c>
      <c r="BR366" s="13"/>
      <c r="BS366" s="14"/>
      <c r="BT366" s="13"/>
      <c r="CE366" s="122">
        <v>4</v>
      </c>
      <c r="CF366" s="122">
        <v>6</v>
      </c>
      <c r="CG366" s="122">
        <v>400</v>
      </c>
      <c r="CH366" s="122">
        <v>6</v>
      </c>
      <c r="CI366" s="123">
        <f t="shared" si="111"/>
        <v>5.7599999999999998E-2</v>
      </c>
      <c r="CJ366" s="122"/>
      <c r="CK366" s="123"/>
      <c r="CL366" s="126"/>
    </row>
    <row r="367" spans="47:90" ht="15" customHeight="1" x14ac:dyDescent="0.25">
      <c r="AU367" s="57">
        <v>5</v>
      </c>
      <c r="AV367" s="57">
        <v>7</v>
      </c>
      <c r="AW367" s="57">
        <v>400</v>
      </c>
      <c r="AX367" s="57">
        <v>4</v>
      </c>
      <c r="AY367" s="56">
        <f t="shared" si="118"/>
        <v>5.6000000000000001E-2</v>
      </c>
      <c r="AZ367" s="57"/>
      <c r="BA367" s="56"/>
      <c r="BB367" s="57"/>
      <c r="BD367" s="13">
        <v>7</v>
      </c>
      <c r="BE367" s="13">
        <v>13</v>
      </c>
      <c r="BF367" s="13">
        <v>400</v>
      </c>
      <c r="BG367" s="13">
        <v>3</v>
      </c>
      <c r="BH367" s="14">
        <f t="shared" si="113"/>
        <v>0.10920000000000001</v>
      </c>
      <c r="BI367" s="13"/>
      <c r="BJ367" s="14"/>
      <c r="BK367" s="13"/>
      <c r="BM367" s="13">
        <v>13</v>
      </c>
      <c r="BN367" s="13">
        <v>20</v>
      </c>
      <c r="BO367" s="13">
        <v>400</v>
      </c>
      <c r="BP367" s="13">
        <v>1</v>
      </c>
      <c r="BQ367" s="14">
        <f t="shared" si="117"/>
        <v>0.104</v>
      </c>
      <c r="BR367" s="13"/>
      <c r="BS367" s="14"/>
      <c r="BT367" s="13"/>
      <c r="CE367" s="122">
        <v>3</v>
      </c>
      <c r="CF367" s="122">
        <v>5</v>
      </c>
      <c r="CG367" s="122">
        <v>400</v>
      </c>
      <c r="CH367" s="122">
        <v>60</v>
      </c>
      <c r="CI367" s="123">
        <f t="shared" si="111"/>
        <v>0.36</v>
      </c>
      <c r="CJ367" s="122"/>
      <c r="CK367" s="124"/>
      <c r="CL367" s="126"/>
    </row>
    <row r="368" spans="47:90" ht="15" customHeight="1" x14ac:dyDescent="0.25">
      <c r="AU368" s="57">
        <v>4</v>
      </c>
      <c r="AV368" s="57">
        <v>6</v>
      </c>
      <c r="AW368" s="57">
        <v>400</v>
      </c>
      <c r="AX368" s="57">
        <v>36</v>
      </c>
      <c r="AY368" s="56">
        <f t="shared" si="118"/>
        <v>0.34560000000000002</v>
      </c>
      <c r="AZ368" s="57"/>
      <c r="BA368" s="158"/>
      <c r="BB368" s="57"/>
      <c r="BD368" s="13">
        <v>4.5</v>
      </c>
      <c r="BE368" s="13">
        <v>13</v>
      </c>
      <c r="BF368" s="13">
        <v>400</v>
      </c>
      <c r="BG368" s="13">
        <v>6</v>
      </c>
      <c r="BH368" s="14">
        <f t="shared" si="113"/>
        <v>0.1404</v>
      </c>
      <c r="BI368" s="13"/>
      <c r="BJ368" s="14"/>
      <c r="BK368" s="13"/>
      <c r="BM368" s="13">
        <v>7</v>
      </c>
      <c r="BN368" s="13">
        <v>20</v>
      </c>
      <c r="BO368" s="13">
        <v>400</v>
      </c>
      <c r="BP368" s="13">
        <v>1</v>
      </c>
      <c r="BQ368" s="14">
        <f t="shared" si="117"/>
        <v>5.6000000000000001E-2</v>
      </c>
      <c r="BR368" s="13"/>
      <c r="BS368" s="14"/>
      <c r="BT368" s="13"/>
      <c r="CE368" s="122">
        <v>2</v>
      </c>
      <c r="CF368" s="122">
        <v>3</v>
      </c>
      <c r="CG368" s="122">
        <v>400</v>
      </c>
      <c r="CH368" s="122">
        <v>75</v>
      </c>
      <c r="CI368" s="123">
        <f t="shared" si="111"/>
        <v>0.18</v>
      </c>
      <c r="CJ368" s="133">
        <f>SUM(CH335:CH368)</f>
        <v>342</v>
      </c>
      <c r="CK368" s="134">
        <f>SUM(CI335:CI368)</f>
        <v>7.2780000000000005</v>
      </c>
      <c r="CL368" s="126" t="s">
        <v>23</v>
      </c>
    </row>
    <row r="369" spans="47:90" ht="15" customHeight="1" thickBot="1" x14ac:dyDescent="0.3">
      <c r="AU369" s="57">
        <v>3</v>
      </c>
      <c r="AV369" s="57">
        <v>5</v>
      </c>
      <c r="AW369" s="57">
        <v>400</v>
      </c>
      <c r="AX369" s="57">
        <v>50</v>
      </c>
      <c r="AY369" s="158">
        <f t="shared" si="118"/>
        <v>0.3</v>
      </c>
      <c r="AZ369" s="57"/>
      <c r="BA369" s="156"/>
      <c r="BB369" s="57"/>
      <c r="BD369" s="13">
        <v>8</v>
      </c>
      <c r="BE369" s="13">
        <v>13</v>
      </c>
      <c r="BF369" s="13">
        <v>400</v>
      </c>
      <c r="BG369" s="13">
        <v>2</v>
      </c>
      <c r="BH369" s="14">
        <f t="shared" si="113"/>
        <v>8.3199999999999996E-2</v>
      </c>
      <c r="BI369" s="13"/>
      <c r="BJ369" s="14"/>
      <c r="BK369" s="13"/>
      <c r="BM369" s="13">
        <v>4.5</v>
      </c>
      <c r="BN369" s="13">
        <v>10</v>
      </c>
      <c r="BO369" s="13">
        <v>400</v>
      </c>
      <c r="BP369" s="13">
        <v>3</v>
      </c>
      <c r="BQ369" s="14">
        <f t="shared" si="117"/>
        <v>5.3999999999999999E-2</v>
      </c>
      <c r="BR369" s="13"/>
      <c r="BS369" s="14"/>
      <c r="BT369" s="13"/>
      <c r="CE369" s="115"/>
      <c r="CF369" s="115"/>
      <c r="CG369" s="115"/>
      <c r="CH369" s="17">
        <f>SUM(CH308:CH368)</f>
        <v>517</v>
      </c>
      <c r="CI369" s="48">
        <f>SUM(CI308:CI368)</f>
        <v>12.014999999999995</v>
      </c>
      <c r="CJ369" s="17">
        <f>SUM(CJ308:CJ368)</f>
        <v>517</v>
      </c>
      <c r="CK369" s="48">
        <f>SUM(CK308:CK368)</f>
        <v>12.015000000000001</v>
      </c>
      <c r="CL369" s="17"/>
    </row>
    <row r="370" spans="47:90" ht="15" customHeight="1" thickTop="1" x14ac:dyDescent="0.25">
      <c r="AU370" s="57">
        <v>2</v>
      </c>
      <c r="AV370" s="57">
        <v>3</v>
      </c>
      <c r="AW370" s="57">
        <v>400</v>
      </c>
      <c r="AX370" s="157">
        <v>50</v>
      </c>
      <c r="AY370" s="156">
        <f t="shared" si="116"/>
        <v>0.12</v>
      </c>
      <c r="AZ370" s="57"/>
      <c r="BA370" s="156"/>
      <c r="BB370" s="57"/>
      <c r="BD370" s="13">
        <v>3.5</v>
      </c>
      <c r="BE370" s="13">
        <v>13</v>
      </c>
      <c r="BF370" s="13">
        <v>400</v>
      </c>
      <c r="BG370" s="13">
        <v>2</v>
      </c>
      <c r="BH370" s="14">
        <f t="shared" si="113"/>
        <v>3.6400000000000002E-2</v>
      </c>
      <c r="BI370" s="13"/>
      <c r="BJ370" s="14"/>
      <c r="BK370" s="13"/>
      <c r="BM370" s="13">
        <v>2.2000000000000002</v>
      </c>
      <c r="BN370" s="13">
        <v>10</v>
      </c>
      <c r="BO370" s="13">
        <v>400</v>
      </c>
      <c r="BP370" s="13">
        <v>1</v>
      </c>
      <c r="BQ370" s="14">
        <f t="shared" si="117"/>
        <v>8.8000000000000005E-3</v>
      </c>
      <c r="BR370" s="13"/>
      <c r="BS370" s="14"/>
      <c r="BT370" s="13"/>
    </row>
    <row r="371" spans="47:90" ht="15" customHeight="1" x14ac:dyDescent="0.25">
      <c r="AU371" s="13">
        <v>2</v>
      </c>
      <c r="AV371" s="13">
        <v>12</v>
      </c>
      <c r="AW371" s="13">
        <v>300</v>
      </c>
      <c r="AX371" s="19">
        <v>1</v>
      </c>
      <c r="AY371" s="20">
        <f t="shared" si="116"/>
        <v>7.1999999999999998E-3</v>
      </c>
      <c r="AZ371" s="13"/>
      <c r="BA371" s="20"/>
      <c r="BB371" s="13"/>
      <c r="BD371" s="13">
        <v>2.2000000000000002</v>
      </c>
      <c r="BE371" s="13">
        <v>13</v>
      </c>
      <c r="BF371" s="13">
        <v>400</v>
      </c>
      <c r="BG371" s="13">
        <v>3</v>
      </c>
      <c r="BH371" s="14">
        <f t="shared" si="113"/>
        <v>3.4320000000000003E-2</v>
      </c>
      <c r="BI371" s="13"/>
      <c r="BJ371" s="14"/>
      <c r="BK371" s="13"/>
      <c r="BM371" s="13">
        <v>15</v>
      </c>
      <c r="BN371" s="13">
        <v>25</v>
      </c>
      <c r="BO371" s="13">
        <v>400</v>
      </c>
      <c r="BP371" s="13">
        <v>1</v>
      </c>
      <c r="BQ371" s="14">
        <f t="shared" si="117"/>
        <v>0.15</v>
      </c>
      <c r="BR371" s="13"/>
      <c r="BS371" s="14"/>
      <c r="BT371" s="13"/>
      <c r="CE371" s="8" t="s">
        <v>151</v>
      </c>
    </row>
    <row r="372" spans="47:90" ht="15" customHeight="1" x14ac:dyDescent="0.25">
      <c r="AU372" s="13">
        <v>2</v>
      </c>
      <c r="AV372" s="13">
        <v>10</v>
      </c>
      <c r="AW372" s="13">
        <v>300</v>
      </c>
      <c r="AX372" s="19">
        <v>20</v>
      </c>
      <c r="AY372" s="20">
        <f t="shared" si="116"/>
        <v>0.12</v>
      </c>
      <c r="AZ372" s="13"/>
      <c r="BA372" s="20"/>
      <c r="BB372" s="13"/>
      <c r="BD372" s="13">
        <v>10</v>
      </c>
      <c r="BE372" s="13">
        <v>10</v>
      </c>
      <c r="BF372" s="13">
        <v>400</v>
      </c>
      <c r="BG372" s="13">
        <v>6</v>
      </c>
      <c r="BH372" s="14">
        <f t="shared" si="113"/>
        <v>0.24</v>
      </c>
      <c r="BI372" s="13"/>
      <c r="BJ372" s="14"/>
      <c r="BK372" s="13"/>
      <c r="BM372" s="13">
        <v>13</v>
      </c>
      <c r="BN372" s="13">
        <v>25</v>
      </c>
      <c r="BO372" s="13">
        <v>400</v>
      </c>
      <c r="BP372" s="13">
        <v>1</v>
      </c>
      <c r="BQ372" s="14">
        <f t="shared" si="117"/>
        <v>0.13</v>
      </c>
      <c r="BR372" s="13"/>
      <c r="BS372" s="14"/>
      <c r="BT372" s="13"/>
      <c r="CE372" s="4" t="s">
        <v>24</v>
      </c>
      <c r="CF372" s="4"/>
      <c r="CG372" s="6">
        <f>SUM(CH249)</f>
        <v>685</v>
      </c>
      <c r="CH372" s="7">
        <f>SUM(CI249)</f>
        <v>12.840310000000004</v>
      </c>
      <c r="CI372" s="7" t="s">
        <v>23</v>
      </c>
      <c r="CJ372" s="6">
        <f>SUM(CJ368,CJ298,CJ234)</f>
        <v>1545</v>
      </c>
      <c r="CK372" s="5">
        <f>SUM(CK368,CK298,CK234)</f>
        <v>33.159790000000008</v>
      </c>
    </row>
    <row r="373" spans="47:90" ht="15" customHeight="1" x14ac:dyDescent="0.25">
      <c r="AU373" s="13">
        <v>6</v>
      </c>
      <c r="AV373" s="13">
        <v>12</v>
      </c>
      <c r="AW373" s="13">
        <v>200</v>
      </c>
      <c r="AX373" s="19">
        <v>1</v>
      </c>
      <c r="AY373" s="20">
        <f t="shared" si="116"/>
        <v>1.44E-2</v>
      </c>
      <c r="AZ373" s="19"/>
      <c r="BA373" s="20"/>
      <c r="BB373" s="19"/>
      <c r="BD373" s="13">
        <v>4.5</v>
      </c>
      <c r="BE373" s="13">
        <v>10</v>
      </c>
      <c r="BF373" s="13">
        <v>400</v>
      </c>
      <c r="BG373" s="13">
        <v>70</v>
      </c>
      <c r="BH373" s="14">
        <f t="shared" si="113"/>
        <v>1.26</v>
      </c>
      <c r="BI373" s="13"/>
      <c r="BJ373" s="14"/>
      <c r="BK373" s="13"/>
      <c r="BM373" s="13">
        <v>10</v>
      </c>
      <c r="BN373" s="13">
        <v>30</v>
      </c>
      <c r="BO373" s="13">
        <v>400</v>
      </c>
      <c r="BP373" s="13">
        <v>1</v>
      </c>
      <c r="BQ373" s="14">
        <f t="shared" si="117"/>
        <v>0.12</v>
      </c>
      <c r="BR373" s="13"/>
      <c r="BS373" s="14"/>
      <c r="BT373" s="13"/>
      <c r="CE373" s="4" t="s">
        <v>22</v>
      </c>
      <c r="CF373" s="4"/>
      <c r="CG373" s="6">
        <f>SUM(CH299)</f>
        <v>556</v>
      </c>
      <c r="CH373" s="7">
        <f>SUM(CI299)</f>
        <v>13.325880000000002</v>
      </c>
      <c r="CI373" s="7" t="s">
        <v>21</v>
      </c>
      <c r="CJ373" s="6">
        <f>SUM(CJ334,CJ248,)</f>
        <v>213</v>
      </c>
      <c r="CK373" s="7">
        <f>SUM(CK334,CK248)</f>
        <v>5.021399999999999</v>
      </c>
    </row>
    <row r="374" spans="47:90" ht="15" customHeight="1" thickBot="1" x14ac:dyDescent="0.3">
      <c r="AU374" s="13">
        <v>2</v>
      </c>
      <c r="AV374" s="13">
        <v>10</v>
      </c>
      <c r="AW374" s="13">
        <v>200</v>
      </c>
      <c r="AX374" s="19">
        <v>3</v>
      </c>
      <c r="AY374" s="20">
        <f t="shared" si="116"/>
        <v>1.2E-2</v>
      </c>
      <c r="AZ374" s="19"/>
      <c r="BA374" s="20"/>
      <c r="BB374" s="19"/>
      <c r="BD374" s="13">
        <v>3.5</v>
      </c>
      <c r="BE374" s="13">
        <v>10</v>
      </c>
      <c r="BF374" s="13">
        <v>400</v>
      </c>
      <c r="BG374" s="13">
        <v>9</v>
      </c>
      <c r="BH374" s="14">
        <f t="shared" si="113"/>
        <v>0.126</v>
      </c>
      <c r="BI374" s="13"/>
      <c r="BJ374" s="14"/>
      <c r="BK374" s="13"/>
      <c r="BM374" s="13">
        <v>2</v>
      </c>
      <c r="BN374" s="13">
        <v>20</v>
      </c>
      <c r="BO374" s="13">
        <v>400</v>
      </c>
      <c r="BP374" s="13">
        <v>1</v>
      </c>
      <c r="BQ374" s="14">
        <f t="shared" si="117"/>
        <v>1.6E-2</v>
      </c>
      <c r="BR374" s="13"/>
      <c r="BS374" s="14"/>
      <c r="BT374" s="13"/>
      <c r="CE374" s="4" t="s">
        <v>20</v>
      </c>
      <c r="CF374" s="4"/>
      <c r="CG374" s="6">
        <f>SUM(CH369)</f>
        <v>517</v>
      </c>
      <c r="CH374" s="5">
        <f>SUM(CI369)</f>
        <v>12.014999999999995</v>
      </c>
      <c r="CI374" s="4"/>
      <c r="CJ374" s="3">
        <f>SUM(CJ372:CJ373)</f>
        <v>1758</v>
      </c>
      <c r="CK374" s="53">
        <f>SUM(CK372:CK373)</f>
        <v>38.181190000000008</v>
      </c>
    </row>
    <row r="375" spans="47:90" ht="15" customHeight="1" thickTop="1" thickBot="1" x14ac:dyDescent="0.3">
      <c r="AU375" s="13">
        <v>5</v>
      </c>
      <c r="AV375" s="13">
        <v>10</v>
      </c>
      <c r="AW375" s="13">
        <v>300</v>
      </c>
      <c r="AX375" s="19">
        <v>2</v>
      </c>
      <c r="AY375" s="20">
        <f t="shared" si="116"/>
        <v>0.03</v>
      </c>
      <c r="AZ375" s="19">
        <f>SUM(AX347:AX375)</f>
        <v>211</v>
      </c>
      <c r="BA375" s="47">
        <f>SUM(AY347:AY375)</f>
        <v>2.6120000000000001</v>
      </c>
      <c r="BB375" s="33" t="s">
        <v>21</v>
      </c>
      <c r="BD375" s="13">
        <v>8</v>
      </c>
      <c r="BE375" s="13">
        <v>10</v>
      </c>
      <c r="BF375" s="13">
        <v>400</v>
      </c>
      <c r="BG375" s="13">
        <v>6</v>
      </c>
      <c r="BH375" s="14">
        <f t="shared" si="113"/>
        <v>0.192</v>
      </c>
      <c r="BI375" s="13"/>
      <c r="BJ375" s="14"/>
      <c r="BK375" s="13"/>
      <c r="BM375" s="122">
        <v>2</v>
      </c>
      <c r="BN375" s="122">
        <v>3</v>
      </c>
      <c r="BO375" s="122">
        <v>400</v>
      </c>
      <c r="BP375" s="122">
        <v>25</v>
      </c>
      <c r="BQ375" s="123">
        <f t="shared" si="117"/>
        <v>0.06</v>
      </c>
      <c r="BR375" s="133"/>
      <c r="BS375" s="134"/>
      <c r="BT375" s="126"/>
      <c r="CE375" s="4"/>
      <c r="CF375" s="4"/>
      <c r="CG375" s="30">
        <f>SUM(CG372:CG374)</f>
        <v>1758</v>
      </c>
      <c r="CH375" s="29">
        <f>SUM(CH372:CH374)</f>
        <v>38.181190000000001</v>
      </c>
    </row>
    <row r="376" spans="47:90" ht="15" customHeight="1" thickTop="1" x14ac:dyDescent="0.25">
      <c r="AU376" s="13">
        <v>8</v>
      </c>
      <c r="AV376" s="13">
        <v>20</v>
      </c>
      <c r="AW376" s="13">
        <v>400</v>
      </c>
      <c r="AX376" s="13">
        <v>1</v>
      </c>
      <c r="AY376" s="14">
        <f t="shared" ref="AY376:AY398" si="119">AU376*AV376*AW376*AX376/1000000</f>
        <v>6.4000000000000001E-2</v>
      </c>
      <c r="AZ376" s="13"/>
      <c r="BA376" s="20"/>
      <c r="BB376" s="13"/>
      <c r="BD376" s="13">
        <v>2.2000000000000002</v>
      </c>
      <c r="BE376" s="13">
        <v>10</v>
      </c>
      <c r="BF376" s="13">
        <v>400</v>
      </c>
      <c r="BG376" s="13">
        <v>17</v>
      </c>
      <c r="BH376" s="14">
        <f t="shared" si="113"/>
        <v>0.14960000000000001</v>
      </c>
      <c r="BI376" s="13"/>
      <c r="BJ376" s="14"/>
      <c r="BK376" s="13"/>
      <c r="BM376" s="122">
        <v>5</v>
      </c>
      <c r="BN376" s="122">
        <v>7</v>
      </c>
      <c r="BO376" s="122">
        <v>300</v>
      </c>
      <c r="BP376" s="122">
        <v>32</v>
      </c>
      <c r="BQ376" s="123">
        <f t="shared" ref="BQ376:BQ396" si="120">BM376*BN376*BO376*BP376/1000000</f>
        <v>0.33600000000000002</v>
      </c>
      <c r="BR376" s="122"/>
      <c r="BS376" s="123"/>
      <c r="BT376" s="122"/>
      <c r="CI376" s="7" t="s">
        <v>155</v>
      </c>
      <c r="CJ376" s="6">
        <f>SUM(CH365:CH368,CH295:CH298,CH234,CH228:CH231,)</f>
        <v>979</v>
      </c>
      <c r="CK376" s="5">
        <f>SUM(CI365:CI368,CI295:CI298,CI234,CI228:CI231,)</f>
        <v>7.1819999999999995</v>
      </c>
    </row>
    <row r="377" spans="47:90" ht="15" customHeight="1" x14ac:dyDescent="0.25">
      <c r="AU377" s="13">
        <v>15</v>
      </c>
      <c r="AV377" s="13">
        <v>25</v>
      </c>
      <c r="AW377" s="13">
        <v>400</v>
      </c>
      <c r="AX377" s="13">
        <v>1</v>
      </c>
      <c r="AY377" s="14">
        <f t="shared" si="119"/>
        <v>0.15</v>
      </c>
      <c r="AZ377" s="13"/>
      <c r="BA377" s="20"/>
      <c r="BB377" s="13"/>
      <c r="BD377" s="13">
        <v>7</v>
      </c>
      <c r="BE377" s="13">
        <v>10</v>
      </c>
      <c r="BF377" s="13">
        <v>400</v>
      </c>
      <c r="BG377" s="13">
        <v>6</v>
      </c>
      <c r="BH377" s="14">
        <f t="shared" si="113"/>
        <v>0.16800000000000001</v>
      </c>
      <c r="BI377" s="13"/>
      <c r="BJ377" s="14"/>
      <c r="BK377" s="13"/>
      <c r="BM377" s="122">
        <v>3</v>
      </c>
      <c r="BN377" s="122">
        <v>5</v>
      </c>
      <c r="BO377" s="122">
        <v>300</v>
      </c>
      <c r="BP377" s="122">
        <v>90</v>
      </c>
      <c r="BQ377" s="123">
        <f t="shared" si="120"/>
        <v>0.40500000000000003</v>
      </c>
      <c r="BR377" s="122"/>
      <c r="BS377" s="123"/>
      <c r="BT377" s="122"/>
      <c r="CI377" s="7" t="s">
        <v>119</v>
      </c>
      <c r="CJ377" s="6">
        <f>SUM(CH335:CH364,CH258:CH294,CH232:CH233,CH188:CH227)</f>
        <v>566</v>
      </c>
      <c r="CK377" s="5">
        <f>SUM(CI335:CI364,CI258:CI294,CI232:CI233,CI188:CI227)</f>
        <v>25.977789999999995</v>
      </c>
    </row>
    <row r="378" spans="47:90" ht="15" customHeight="1" x14ac:dyDescent="0.25">
      <c r="AU378" s="13">
        <v>10</v>
      </c>
      <c r="AV378" s="13">
        <v>25</v>
      </c>
      <c r="AW378" s="13">
        <v>400</v>
      </c>
      <c r="AX378" s="13">
        <v>2</v>
      </c>
      <c r="AY378" s="14">
        <f t="shared" si="119"/>
        <v>0.2</v>
      </c>
      <c r="AZ378" s="13"/>
      <c r="BA378" s="20"/>
      <c r="BB378" s="13"/>
      <c r="BD378" s="13">
        <v>1.7</v>
      </c>
      <c r="BE378" s="13">
        <v>10</v>
      </c>
      <c r="BF378" s="13">
        <v>400</v>
      </c>
      <c r="BG378" s="13">
        <v>1</v>
      </c>
      <c r="BH378" s="14">
        <f t="shared" si="113"/>
        <v>6.7999999999999996E-3</v>
      </c>
      <c r="BI378" s="13"/>
      <c r="BJ378" s="14"/>
      <c r="BK378" s="13"/>
      <c r="BM378" s="122">
        <v>2</v>
      </c>
      <c r="BN378" s="122">
        <v>3</v>
      </c>
      <c r="BO378" s="122">
        <v>300</v>
      </c>
      <c r="BP378" s="122">
        <v>25</v>
      </c>
      <c r="BQ378" s="123">
        <f t="shared" si="120"/>
        <v>4.4999999999999998E-2</v>
      </c>
      <c r="BR378" s="122"/>
      <c r="BS378" s="123"/>
      <c r="BT378" s="122"/>
      <c r="CI378" s="7" t="s">
        <v>149</v>
      </c>
      <c r="CJ378" s="6">
        <f>SUM(CH333:CH334,CH323:CH325,CH241,)</f>
        <v>71</v>
      </c>
      <c r="CK378" s="7">
        <f>SUM(CI333:CI334,CI323:CI325,CI241,)</f>
        <v>0.35239999999999999</v>
      </c>
    </row>
    <row r="379" spans="47:90" ht="15" customHeight="1" x14ac:dyDescent="0.25">
      <c r="AU379" s="13">
        <v>13</v>
      </c>
      <c r="AV379" s="13">
        <v>25</v>
      </c>
      <c r="AW379" s="13">
        <v>400</v>
      </c>
      <c r="AX379" s="13">
        <v>3</v>
      </c>
      <c r="AY379" s="14">
        <f t="shared" si="119"/>
        <v>0.39</v>
      </c>
      <c r="AZ379" s="13"/>
      <c r="BA379" s="14"/>
      <c r="BB379" s="13"/>
      <c r="BD379" s="13">
        <v>4.5</v>
      </c>
      <c r="BE379" s="13">
        <v>20</v>
      </c>
      <c r="BF379" s="13">
        <v>400</v>
      </c>
      <c r="BG379" s="13">
        <v>1</v>
      </c>
      <c r="BH379" s="14">
        <f t="shared" si="113"/>
        <v>3.5999999999999997E-2</v>
      </c>
      <c r="BI379" s="13"/>
      <c r="BJ379" s="14"/>
      <c r="BK379" s="13"/>
      <c r="BM379" s="13">
        <v>7</v>
      </c>
      <c r="BN379" s="13">
        <v>10</v>
      </c>
      <c r="BO379" s="13">
        <v>300</v>
      </c>
      <c r="BP379" s="13">
        <v>1</v>
      </c>
      <c r="BQ379" s="14">
        <f t="shared" si="120"/>
        <v>2.1000000000000001E-2</v>
      </c>
      <c r="BR379" s="13"/>
      <c r="BS379" s="14"/>
      <c r="BT379" s="13"/>
      <c r="CI379" s="7" t="s">
        <v>148</v>
      </c>
      <c r="CJ379" s="6">
        <f>SUM(CH326:CH332,CH308:CH322,CH235:CH240,CH242:CH248)</f>
        <v>142</v>
      </c>
      <c r="CK379" s="7">
        <f>SUM(CI326:CI332,CI308:CI322,CI235:CI240,CI242:CI248)</f>
        <v>4.6690000000000005</v>
      </c>
    </row>
    <row r="380" spans="47:90" ht="15" customHeight="1" thickBot="1" x14ac:dyDescent="0.3">
      <c r="AU380" s="13">
        <v>7</v>
      </c>
      <c r="AV380" s="13">
        <v>25</v>
      </c>
      <c r="AW380" s="13">
        <v>400</v>
      </c>
      <c r="AX380" s="13">
        <v>4</v>
      </c>
      <c r="AY380" s="14">
        <f t="shared" si="119"/>
        <v>0.28000000000000003</v>
      </c>
      <c r="AZ380" s="13"/>
      <c r="BA380" s="14"/>
      <c r="BB380" s="13"/>
      <c r="BD380" s="13">
        <v>7</v>
      </c>
      <c r="BE380" s="13">
        <v>20</v>
      </c>
      <c r="BF380" s="13">
        <v>400</v>
      </c>
      <c r="BG380" s="13">
        <v>1</v>
      </c>
      <c r="BH380" s="14">
        <f t="shared" si="113"/>
        <v>5.6000000000000001E-2</v>
      </c>
      <c r="BI380" s="13">
        <f>SUM(BG338:BG380)</f>
        <v>811</v>
      </c>
      <c r="BJ380" s="14">
        <f>SUM(BH338:BH380)</f>
        <v>10.999359999999996</v>
      </c>
      <c r="BK380" s="41" t="s">
        <v>23</v>
      </c>
      <c r="BM380" s="13">
        <v>4.5</v>
      </c>
      <c r="BN380" s="13">
        <v>10</v>
      </c>
      <c r="BO380" s="13">
        <v>300</v>
      </c>
      <c r="BP380" s="13">
        <v>19</v>
      </c>
      <c r="BQ380" s="14">
        <f t="shared" si="120"/>
        <v>0.25650000000000001</v>
      </c>
      <c r="BR380" s="13"/>
      <c r="BS380" s="14"/>
      <c r="BT380" s="13"/>
      <c r="CI380" s="4"/>
      <c r="CJ380" s="3">
        <f>SUM(CJ376:CJ379)</f>
        <v>1758</v>
      </c>
      <c r="CK380" s="53">
        <f>SUM(CK376:CK379)</f>
        <v>38.181190000000001</v>
      </c>
    </row>
    <row r="381" spans="47:90" ht="15" customHeight="1" thickTop="1" thickBot="1" x14ac:dyDescent="0.3">
      <c r="AU381" s="13">
        <v>8</v>
      </c>
      <c r="AV381" s="13">
        <v>25</v>
      </c>
      <c r="AW381" s="13">
        <v>400</v>
      </c>
      <c r="AX381" s="13">
        <v>2</v>
      </c>
      <c r="AY381" s="14">
        <f t="shared" si="119"/>
        <v>0.16</v>
      </c>
      <c r="AZ381" s="13"/>
      <c r="BA381" s="14"/>
      <c r="BB381" s="41"/>
      <c r="BD381" s="237"/>
      <c r="BE381" s="237"/>
      <c r="BF381" s="238"/>
      <c r="BG381" s="98">
        <f>SUM(BG317:BG380)</f>
        <v>874</v>
      </c>
      <c r="BH381" s="48">
        <f>SUM(BH317:BH380)</f>
        <v>12.214359999999996</v>
      </c>
      <c r="BI381" s="98">
        <f>SUM(BI317:BI380)</f>
        <v>874</v>
      </c>
      <c r="BJ381" s="48">
        <f>SUM(BJ317:BJ380)</f>
        <v>12.214359999999996</v>
      </c>
      <c r="BK381" s="104"/>
      <c r="BM381" s="13">
        <v>3.5</v>
      </c>
      <c r="BN381" s="13">
        <v>10</v>
      </c>
      <c r="BO381" s="13">
        <v>300</v>
      </c>
      <c r="BP381" s="13">
        <v>7</v>
      </c>
      <c r="BQ381" s="14">
        <f t="shared" si="120"/>
        <v>7.3499999999999996E-2</v>
      </c>
      <c r="BR381" s="13"/>
      <c r="BS381" s="14"/>
      <c r="BT381" s="41"/>
    </row>
    <row r="382" spans="47:90" ht="15" customHeight="1" thickTop="1" x14ac:dyDescent="0.25">
      <c r="AU382" s="13">
        <v>13</v>
      </c>
      <c r="AV382" s="13">
        <v>30</v>
      </c>
      <c r="AW382" s="13">
        <v>400</v>
      </c>
      <c r="AX382" s="13">
        <v>1</v>
      </c>
      <c r="AY382" s="14">
        <f t="shared" si="119"/>
        <v>0.156</v>
      </c>
      <c r="AZ382" s="13"/>
      <c r="BA382" s="14"/>
      <c r="BB382" s="13"/>
      <c r="BM382" s="13">
        <v>2.2000000000000002</v>
      </c>
      <c r="BN382" s="13">
        <v>10</v>
      </c>
      <c r="BO382" s="13">
        <v>300</v>
      </c>
      <c r="BP382" s="13">
        <v>12</v>
      </c>
      <c r="BQ382" s="14">
        <f t="shared" si="120"/>
        <v>7.9200000000000007E-2</v>
      </c>
      <c r="BR382" s="13"/>
      <c r="BS382" s="14"/>
      <c r="BT382" s="13"/>
    </row>
    <row r="383" spans="47:90" ht="15" customHeight="1" x14ac:dyDescent="0.25">
      <c r="AU383" s="13">
        <v>10</v>
      </c>
      <c r="AV383" s="13">
        <v>30</v>
      </c>
      <c r="AW383" s="13">
        <v>400</v>
      </c>
      <c r="AX383" s="13">
        <v>1</v>
      </c>
      <c r="AY383" s="14">
        <f t="shared" si="119"/>
        <v>0.12</v>
      </c>
      <c r="AZ383" s="13"/>
      <c r="BA383" s="14"/>
      <c r="BB383" s="13"/>
      <c r="BD383" s="8" t="s">
        <v>115</v>
      </c>
      <c r="BM383" s="13">
        <v>4.5</v>
      </c>
      <c r="BN383" s="13">
        <v>15</v>
      </c>
      <c r="BO383" s="13">
        <v>300</v>
      </c>
      <c r="BP383" s="13">
        <v>4</v>
      </c>
      <c r="BQ383" s="14">
        <f t="shared" si="120"/>
        <v>8.1000000000000003E-2</v>
      </c>
      <c r="BR383" s="13"/>
      <c r="BS383" s="14"/>
      <c r="BT383" s="13"/>
    </row>
    <row r="384" spans="47:90" ht="15" customHeight="1" x14ac:dyDescent="0.25">
      <c r="AU384" s="13">
        <v>7</v>
      </c>
      <c r="AV384" s="13">
        <v>30</v>
      </c>
      <c r="AW384" s="13">
        <v>400</v>
      </c>
      <c r="AX384" s="13">
        <v>1</v>
      </c>
      <c r="AY384" s="14">
        <f t="shared" si="119"/>
        <v>8.4000000000000005E-2</v>
      </c>
      <c r="AZ384" s="13"/>
      <c r="BA384" s="14"/>
      <c r="BB384" s="13"/>
      <c r="BD384" s="4" t="s">
        <v>24</v>
      </c>
      <c r="BE384" s="4"/>
      <c r="BF384" s="6">
        <f>SUM(BG244)</f>
        <v>1411</v>
      </c>
      <c r="BG384" s="7">
        <f>SUM(BH244)</f>
        <v>12.455930000000002</v>
      </c>
      <c r="BH384" s="7" t="s">
        <v>23</v>
      </c>
      <c r="BI384" s="6">
        <f>SUM(BI380+BI303+BG244)</f>
        <v>2539</v>
      </c>
      <c r="BJ384" s="5">
        <f>SUM(BJ380+BJ303+BH244)</f>
        <v>35.233239999999995</v>
      </c>
      <c r="BM384" s="13">
        <v>2.2000000000000002</v>
      </c>
      <c r="BN384" s="13">
        <v>15</v>
      </c>
      <c r="BO384" s="13">
        <v>300</v>
      </c>
      <c r="BP384" s="13">
        <v>4</v>
      </c>
      <c r="BQ384" s="14">
        <f t="shared" si="120"/>
        <v>3.9600000000000003E-2</v>
      </c>
      <c r="BR384" s="13"/>
      <c r="BS384" s="14"/>
      <c r="BT384" s="13"/>
    </row>
    <row r="385" spans="47:72" ht="15" customHeight="1" x14ac:dyDescent="0.25">
      <c r="AU385" s="13">
        <v>15</v>
      </c>
      <c r="AV385" s="13">
        <v>28</v>
      </c>
      <c r="AW385" s="13">
        <v>400</v>
      </c>
      <c r="AX385" s="13">
        <v>2</v>
      </c>
      <c r="AY385" s="14">
        <f t="shared" si="119"/>
        <v>0.33600000000000002</v>
      </c>
      <c r="AZ385" s="13"/>
      <c r="BA385" s="14"/>
      <c r="BB385" s="13"/>
      <c r="BD385" s="4" t="s">
        <v>22</v>
      </c>
      <c r="BE385" s="4"/>
      <c r="BF385" s="6">
        <f>SUM(BG308)</f>
        <v>362</v>
      </c>
      <c r="BG385" s="7">
        <f>SUM(BH308)</f>
        <v>12.011549999999998</v>
      </c>
      <c r="BH385" s="7" t="s">
        <v>21</v>
      </c>
      <c r="BI385" s="6">
        <f>SUM(BI337+BI307)</f>
        <v>108</v>
      </c>
      <c r="BJ385" s="5">
        <f>SUM(BJ337+BJ307)</f>
        <v>1.4486000000000001</v>
      </c>
      <c r="BM385" s="13">
        <v>2.2000000000000002</v>
      </c>
      <c r="BN385" s="13">
        <v>13</v>
      </c>
      <c r="BO385" s="13">
        <v>300</v>
      </c>
      <c r="BP385" s="13">
        <v>1</v>
      </c>
      <c r="BQ385" s="14">
        <f t="shared" si="120"/>
        <v>8.5800000000000008E-3</v>
      </c>
      <c r="BR385" s="13"/>
      <c r="BS385" s="14"/>
      <c r="BT385" s="41"/>
    </row>
    <row r="386" spans="47:72" ht="15" customHeight="1" thickBot="1" x14ac:dyDescent="0.3">
      <c r="AU386" s="13">
        <v>13</v>
      </c>
      <c r="AV386" s="13">
        <v>20</v>
      </c>
      <c r="AW386" s="13">
        <v>400</v>
      </c>
      <c r="AX386" s="13">
        <v>2</v>
      </c>
      <c r="AY386" s="14">
        <f t="shared" si="119"/>
        <v>0.20799999999999999</v>
      </c>
      <c r="AZ386" s="13"/>
      <c r="BA386" s="14"/>
      <c r="BB386" s="13"/>
      <c r="BD386" s="4" t="s">
        <v>20</v>
      </c>
      <c r="BE386" s="4"/>
      <c r="BF386" s="6">
        <f>SUM(BG381)</f>
        <v>874</v>
      </c>
      <c r="BG386" s="7">
        <f>SUM(BH381)</f>
        <v>12.214359999999996</v>
      </c>
      <c r="BH386" s="4"/>
      <c r="BI386" s="3">
        <f>SUM(BI384:BI385)</f>
        <v>2647</v>
      </c>
      <c r="BJ386" s="53">
        <f>SUM(BJ384:BJ385)</f>
        <v>36.681839999999994</v>
      </c>
      <c r="BM386" s="13">
        <v>4.5</v>
      </c>
      <c r="BN386" s="13">
        <v>25</v>
      </c>
      <c r="BO386" s="13">
        <v>300</v>
      </c>
      <c r="BP386" s="13">
        <v>1</v>
      </c>
      <c r="BQ386" s="14">
        <f t="shared" si="120"/>
        <v>3.3750000000000002E-2</v>
      </c>
      <c r="BR386" s="13"/>
      <c r="BS386" s="14"/>
      <c r="BT386" s="13"/>
    </row>
    <row r="387" spans="47:72" ht="15" customHeight="1" thickTop="1" thickBot="1" x14ac:dyDescent="0.3">
      <c r="AU387" s="13">
        <v>10</v>
      </c>
      <c r="AV387" s="13">
        <v>20</v>
      </c>
      <c r="AW387" s="13">
        <v>400</v>
      </c>
      <c r="AX387" s="13">
        <v>1</v>
      </c>
      <c r="AY387" s="14">
        <f t="shared" si="119"/>
        <v>0.08</v>
      </c>
      <c r="AZ387" s="13"/>
      <c r="BA387" s="14"/>
      <c r="BB387" s="13"/>
      <c r="BD387" s="4"/>
      <c r="BE387" s="4"/>
      <c r="BF387" s="30">
        <f>SUM(BF384:BF386)</f>
        <v>2647</v>
      </c>
      <c r="BG387" s="29">
        <f>SUM(BG384:BG386)</f>
        <v>36.681839999999994</v>
      </c>
      <c r="BM387" s="13">
        <v>2.2000000000000002</v>
      </c>
      <c r="BN387" s="13">
        <v>20</v>
      </c>
      <c r="BO387" s="13">
        <v>300</v>
      </c>
      <c r="BP387" s="13">
        <v>1</v>
      </c>
      <c r="BQ387" s="14">
        <f t="shared" si="120"/>
        <v>1.32E-2</v>
      </c>
      <c r="BR387" s="13"/>
      <c r="BS387" s="14"/>
      <c r="BT387" s="41"/>
    </row>
    <row r="388" spans="47:72" ht="15" customHeight="1" thickTop="1" x14ac:dyDescent="0.25">
      <c r="AU388" s="13">
        <v>3.5</v>
      </c>
      <c r="AV388" s="13">
        <v>20</v>
      </c>
      <c r="AW388" s="13">
        <v>400</v>
      </c>
      <c r="AX388" s="13">
        <v>2</v>
      </c>
      <c r="AY388" s="14">
        <f t="shared" si="119"/>
        <v>5.6000000000000001E-2</v>
      </c>
      <c r="AZ388" s="13"/>
      <c r="BA388" s="14"/>
      <c r="BB388" s="13"/>
      <c r="BH388" s="7" t="s">
        <v>118</v>
      </c>
      <c r="BI388" s="6">
        <f>SUM(BG338:BG341,BG292,BG233:BG236,)</f>
        <v>1864</v>
      </c>
      <c r="BJ388" s="5">
        <f>SUM(BH338:BH341,BH292,BH233:BH236,)</f>
        <v>11.388999999999999</v>
      </c>
      <c r="BM388" s="13">
        <v>4.5</v>
      </c>
      <c r="BN388" s="13">
        <v>23</v>
      </c>
      <c r="BO388" s="13">
        <v>300</v>
      </c>
      <c r="BP388" s="13">
        <v>1</v>
      </c>
      <c r="BQ388" s="14">
        <f t="shared" si="120"/>
        <v>3.1050000000000001E-2</v>
      </c>
      <c r="BR388" s="13"/>
      <c r="BS388" s="14"/>
      <c r="BT388" s="41"/>
    </row>
    <row r="389" spans="47:72" ht="15" customHeight="1" x14ac:dyDescent="0.25">
      <c r="AU389" s="13">
        <v>7</v>
      </c>
      <c r="AV389" s="13">
        <v>20</v>
      </c>
      <c r="AW389" s="13">
        <v>400</v>
      </c>
      <c r="AX389" s="13">
        <v>2</v>
      </c>
      <c r="AY389" s="14">
        <f t="shared" si="119"/>
        <v>0.112</v>
      </c>
      <c r="AZ389" s="13"/>
      <c r="BA389" s="14"/>
      <c r="BB389" s="13"/>
      <c r="BD389" s="8" t="s">
        <v>123</v>
      </c>
      <c r="BE389" s="4"/>
      <c r="BF389" s="4"/>
      <c r="BG389" s="4"/>
      <c r="BH389" s="7" t="s">
        <v>119</v>
      </c>
      <c r="BI389" s="6">
        <f>SUM(BG342:BG380,BG293:BG303,BG253:BG291,BG237:BG243,BG203:BG232,)</f>
        <v>675</v>
      </c>
      <c r="BJ389" s="5">
        <f>SUM(BH342:BH380,BH293:BH303,BH253:BH291,BH237:BH243,BH203:BH232,)</f>
        <v>23.844240000000003</v>
      </c>
      <c r="BM389" s="13">
        <v>2.2000000000000002</v>
      </c>
      <c r="BN389" s="13">
        <v>23</v>
      </c>
      <c r="BO389" s="13">
        <v>300</v>
      </c>
      <c r="BP389" s="13">
        <v>1</v>
      </c>
      <c r="BQ389" s="14">
        <f t="shared" si="120"/>
        <v>1.5180000000000001E-2</v>
      </c>
      <c r="BR389" s="13"/>
      <c r="BS389" s="14"/>
      <c r="BT389" s="13"/>
    </row>
    <row r="390" spans="47:72" ht="15" customHeight="1" x14ac:dyDescent="0.25">
      <c r="AU390" s="13">
        <v>4.5</v>
      </c>
      <c r="AV390" s="13">
        <v>15</v>
      </c>
      <c r="AW390" s="13">
        <v>400</v>
      </c>
      <c r="AX390" s="13">
        <v>9</v>
      </c>
      <c r="AY390" s="14">
        <f t="shared" si="119"/>
        <v>0.24299999999999999</v>
      </c>
      <c r="AZ390" s="13"/>
      <c r="BA390" s="14"/>
      <c r="BB390" s="13"/>
      <c r="BD390" s="4" t="s">
        <v>52</v>
      </c>
      <c r="BE390" s="4"/>
      <c r="BF390" s="6">
        <f>SUM(BG338:BG341,BG292,BG233:BG236,BG181,BG130:BG133,)</f>
        <v>2255</v>
      </c>
      <c r="BG390" s="4">
        <f>SUM(BH338:BH341,BH292,BH233:BH236,BH181,BH130:BH133,)</f>
        <v>15.5138</v>
      </c>
      <c r="BH390" s="7" t="s">
        <v>149</v>
      </c>
      <c r="BI390" s="6">
        <f>SUM(BG337,BG304:BG307,BG336,BG328)</f>
        <v>77</v>
      </c>
      <c r="BJ390" s="7">
        <f>SUM(BH337,BH304:BH307,BH336,BH328)</f>
        <v>0.52239999999999998</v>
      </c>
      <c r="BM390" s="13">
        <v>4.5</v>
      </c>
      <c r="BN390" s="13">
        <v>10</v>
      </c>
      <c r="BO390" s="13">
        <v>250</v>
      </c>
      <c r="BP390" s="13">
        <v>4</v>
      </c>
      <c r="BQ390" s="14">
        <f t="shared" si="120"/>
        <v>4.4999999999999998E-2</v>
      </c>
      <c r="BR390" s="13"/>
      <c r="BS390" s="14"/>
      <c r="BT390" s="13"/>
    </row>
    <row r="391" spans="47:72" ht="15" customHeight="1" x14ac:dyDescent="0.25">
      <c r="AU391" s="13">
        <v>13</v>
      </c>
      <c r="AV391" s="13">
        <v>15</v>
      </c>
      <c r="AW391" s="13">
        <v>400</v>
      </c>
      <c r="AX391" s="13">
        <v>6</v>
      </c>
      <c r="AY391" s="14">
        <f t="shared" si="119"/>
        <v>0.46800000000000003</v>
      </c>
      <c r="AZ391" s="13"/>
      <c r="BA391" s="14"/>
      <c r="BB391" s="13"/>
      <c r="BD391" s="4" t="s">
        <v>21</v>
      </c>
      <c r="BE391" s="4"/>
      <c r="BF391" s="6">
        <f>SUM(BG337,BG304:BG307,BG42:BG44,BG20:BG23,BG16:BG17,)</f>
        <v>458</v>
      </c>
      <c r="BG391" s="40">
        <f>SUM(BH337,BH304:BH307,BH42:BH44,BH20:BH23,BH16:BH17,)</f>
        <v>2.9889999999999999</v>
      </c>
      <c r="BH391" s="7" t="s">
        <v>148</v>
      </c>
      <c r="BI391" s="6">
        <f>SUM(BG329:BG335,BG317:BG327,)</f>
        <v>31</v>
      </c>
      <c r="BJ391" s="7">
        <f>SUM(BH329:BH335,BH317:BH327,)</f>
        <v>0.92620000000000002</v>
      </c>
      <c r="BM391" s="13">
        <v>2.2000000000000002</v>
      </c>
      <c r="BN391" s="13">
        <v>10</v>
      </c>
      <c r="BO391" s="13">
        <v>250</v>
      </c>
      <c r="BP391" s="13">
        <v>10</v>
      </c>
      <c r="BQ391" s="14">
        <f t="shared" si="120"/>
        <v>5.5E-2</v>
      </c>
      <c r="BR391" s="13"/>
      <c r="BS391" s="14"/>
      <c r="BT391" s="13"/>
    </row>
    <row r="392" spans="47:72" ht="15" customHeight="1" thickBot="1" x14ac:dyDescent="0.3">
      <c r="AU392" s="13">
        <v>3.5</v>
      </c>
      <c r="AV392" s="13">
        <v>15</v>
      </c>
      <c r="AW392" s="13">
        <v>400</v>
      </c>
      <c r="AX392" s="13">
        <v>9</v>
      </c>
      <c r="AY392" s="14">
        <f t="shared" si="119"/>
        <v>0.189</v>
      </c>
      <c r="AZ392" s="13"/>
      <c r="BA392" s="14"/>
      <c r="BB392" s="13"/>
      <c r="BD392" s="4"/>
      <c r="BE392" s="4"/>
      <c r="BF392" s="141">
        <f>SUM(BF390:BF391)</f>
        <v>2713</v>
      </c>
      <c r="BG392" s="142">
        <f>SUM(BG390:BG391)</f>
        <v>18.502800000000001</v>
      </c>
      <c r="BH392" s="4"/>
      <c r="BI392" s="3">
        <f>SUM(BI388:BI391)</f>
        <v>2647</v>
      </c>
      <c r="BJ392" s="53">
        <f>SUM(BJ388:BJ391)</f>
        <v>36.681840000000001</v>
      </c>
      <c r="BM392" s="13">
        <v>2.2000000000000002</v>
      </c>
      <c r="BN392" s="13">
        <v>15</v>
      </c>
      <c r="BO392" s="13">
        <v>250</v>
      </c>
      <c r="BP392" s="13">
        <v>1</v>
      </c>
      <c r="BQ392" s="14">
        <f t="shared" si="120"/>
        <v>8.2500000000000004E-3</v>
      </c>
      <c r="BR392" s="13"/>
      <c r="BS392" s="14"/>
      <c r="BT392" s="13"/>
    </row>
    <row r="393" spans="47:72" ht="15" customHeight="1" thickTop="1" x14ac:dyDescent="0.25">
      <c r="AU393" s="13">
        <v>4.5</v>
      </c>
      <c r="AV393" s="13">
        <v>17</v>
      </c>
      <c r="AW393" s="13">
        <v>400</v>
      </c>
      <c r="AX393" s="13">
        <v>1</v>
      </c>
      <c r="AY393" s="14">
        <f t="shared" si="119"/>
        <v>3.0599999999999999E-2</v>
      </c>
      <c r="AZ393" s="13"/>
      <c r="BA393" s="14"/>
      <c r="BB393" s="13"/>
      <c r="BD393" s="4"/>
      <c r="BE393" s="4"/>
      <c r="BF393" s="4"/>
      <c r="BG393" s="4"/>
      <c r="BM393" s="13">
        <v>4.5</v>
      </c>
      <c r="BN393" s="13">
        <v>10</v>
      </c>
      <c r="BO393" s="13">
        <v>200</v>
      </c>
      <c r="BP393" s="13">
        <v>3</v>
      </c>
      <c r="BQ393" s="14">
        <f t="shared" si="120"/>
        <v>2.7E-2</v>
      </c>
      <c r="BR393" s="13"/>
      <c r="BS393" s="14"/>
      <c r="BT393" s="13"/>
    </row>
    <row r="394" spans="47:72" ht="15" customHeight="1" x14ac:dyDescent="0.25">
      <c r="AU394" s="13">
        <v>13</v>
      </c>
      <c r="AV394" s="13">
        <v>17</v>
      </c>
      <c r="AW394" s="13">
        <v>400</v>
      </c>
      <c r="AX394" s="13">
        <v>1</v>
      </c>
      <c r="AY394" s="14">
        <f t="shared" si="119"/>
        <v>8.8400000000000006E-2</v>
      </c>
      <c r="AZ394" s="13"/>
      <c r="BA394" s="14"/>
      <c r="BB394" s="13"/>
      <c r="BM394" s="13">
        <v>7</v>
      </c>
      <c r="BN394" s="13">
        <v>10</v>
      </c>
      <c r="BO394" s="13">
        <v>200</v>
      </c>
      <c r="BP394" s="13">
        <v>2</v>
      </c>
      <c r="BQ394" s="14">
        <f t="shared" si="120"/>
        <v>2.8000000000000001E-2</v>
      </c>
      <c r="BR394" s="13"/>
      <c r="BS394" s="14"/>
      <c r="BT394" s="13"/>
    </row>
    <row r="395" spans="47:72" ht="15" customHeight="1" x14ac:dyDescent="0.25">
      <c r="AU395" s="13">
        <v>2.2000000000000002</v>
      </c>
      <c r="AV395" s="13">
        <v>15</v>
      </c>
      <c r="AW395" s="13">
        <v>400</v>
      </c>
      <c r="AX395" s="13">
        <v>10</v>
      </c>
      <c r="AY395" s="14">
        <f t="shared" si="119"/>
        <v>0.13200000000000001</v>
      </c>
      <c r="AZ395" s="13"/>
      <c r="BA395" s="14"/>
      <c r="BB395" s="13"/>
      <c r="BM395" s="13">
        <v>1.7</v>
      </c>
      <c r="BN395" s="13">
        <v>10</v>
      </c>
      <c r="BO395" s="13">
        <v>200</v>
      </c>
      <c r="BP395" s="13">
        <v>5</v>
      </c>
      <c r="BQ395" s="14">
        <f t="shared" si="120"/>
        <v>1.7000000000000001E-2</v>
      </c>
      <c r="BR395" s="13"/>
      <c r="BS395" s="14"/>
      <c r="BT395" s="13"/>
    </row>
    <row r="396" spans="47:72" ht="15" customHeight="1" x14ac:dyDescent="0.25">
      <c r="AU396" s="13">
        <v>10</v>
      </c>
      <c r="AV396" s="13">
        <v>15</v>
      </c>
      <c r="AW396" s="13">
        <v>400</v>
      </c>
      <c r="AX396" s="13">
        <v>9</v>
      </c>
      <c r="AY396" s="14">
        <f t="shared" si="119"/>
        <v>0.54</v>
      </c>
      <c r="AZ396" s="13"/>
      <c r="BA396" s="14"/>
      <c r="BB396" s="13"/>
      <c r="BM396" s="13">
        <v>2.2000000000000002</v>
      </c>
      <c r="BN396" s="13">
        <v>10</v>
      </c>
      <c r="BO396" s="13">
        <v>200</v>
      </c>
      <c r="BP396" s="13">
        <v>1</v>
      </c>
      <c r="BQ396" s="14">
        <f t="shared" si="120"/>
        <v>4.4000000000000003E-3</v>
      </c>
      <c r="BR396" s="37">
        <f>SUM(BP349:BP396)</f>
        <v>325</v>
      </c>
      <c r="BS396" s="107">
        <f>SUM(BQ349:BQ396)</f>
        <v>4.0220100000000008</v>
      </c>
      <c r="BT396" s="41" t="s">
        <v>23</v>
      </c>
    </row>
    <row r="397" spans="47:72" ht="15" customHeight="1" x14ac:dyDescent="0.25">
      <c r="AU397" s="13">
        <v>15</v>
      </c>
      <c r="AV397" s="13">
        <v>15</v>
      </c>
      <c r="AW397" s="13">
        <v>400</v>
      </c>
      <c r="AX397" s="13">
        <v>3</v>
      </c>
      <c r="AY397" s="14">
        <f t="shared" si="119"/>
        <v>0.27</v>
      </c>
      <c r="AZ397" s="13"/>
      <c r="BA397" s="14"/>
      <c r="BB397" s="13"/>
      <c r="BM397" s="13">
        <v>10</v>
      </c>
      <c r="BN397" s="13">
        <v>12</v>
      </c>
      <c r="BO397" s="13">
        <v>400</v>
      </c>
      <c r="BP397" s="13">
        <v>2</v>
      </c>
      <c r="BQ397" s="14">
        <f t="shared" ref="BQ397:BQ405" si="121">BM397*BN397*BO397*BP397/1000000</f>
        <v>9.6000000000000002E-2</v>
      </c>
      <c r="BR397" s="13"/>
      <c r="BS397" s="14"/>
      <c r="BT397" s="13"/>
    </row>
    <row r="398" spans="47:72" ht="15" customHeight="1" x14ac:dyDescent="0.25">
      <c r="AU398" s="13">
        <v>10</v>
      </c>
      <c r="AV398" s="13">
        <v>17</v>
      </c>
      <c r="AW398" s="13">
        <v>400</v>
      </c>
      <c r="AX398" s="13">
        <v>1</v>
      </c>
      <c r="AY398" s="14">
        <f t="shared" si="119"/>
        <v>6.8000000000000005E-2</v>
      </c>
      <c r="AZ398" s="13"/>
      <c r="BA398" s="14"/>
      <c r="BB398" s="13"/>
      <c r="BM398" s="13">
        <v>6</v>
      </c>
      <c r="BN398" s="13">
        <v>12</v>
      </c>
      <c r="BO398" s="13">
        <v>400</v>
      </c>
      <c r="BP398" s="13">
        <v>5</v>
      </c>
      <c r="BQ398" s="14">
        <f t="shared" si="121"/>
        <v>0.14399999999999999</v>
      </c>
      <c r="BR398" s="13"/>
      <c r="BS398" s="14"/>
      <c r="BT398" s="13"/>
    </row>
    <row r="399" spans="47:72" ht="15" customHeight="1" x14ac:dyDescent="0.25">
      <c r="AU399" s="13">
        <v>8</v>
      </c>
      <c r="AV399" s="13">
        <v>15</v>
      </c>
      <c r="AW399" s="13">
        <v>400</v>
      </c>
      <c r="AX399" s="13">
        <v>1</v>
      </c>
      <c r="AY399" s="14">
        <f t="shared" ref="AY399:AY412" si="122">AU399*AV399*AW399*AX399/1000000</f>
        <v>4.8000000000000001E-2</v>
      </c>
      <c r="AZ399" s="19"/>
      <c r="BA399" s="14"/>
      <c r="BB399" s="13"/>
      <c r="BM399" s="13">
        <v>4</v>
      </c>
      <c r="BN399" s="13">
        <v>10</v>
      </c>
      <c r="BO399" s="13">
        <v>400</v>
      </c>
      <c r="BP399" s="13">
        <v>7</v>
      </c>
      <c r="BQ399" s="14">
        <f t="shared" si="121"/>
        <v>0.112</v>
      </c>
      <c r="BR399" s="13"/>
      <c r="BS399" s="14"/>
      <c r="BT399" s="13"/>
    </row>
    <row r="400" spans="47:72" ht="15" customHeight="1" x14ac:dyDescent="0.25">
      <c r="AU400" s="13">
        <v>7</v>
      </c>
      <c r="AV400" s="13">
        <v>15</v>
      </c>
      <c r="AW400" s="13">
        <v>400</v>
      </c>
      <c r="AX400" s="13">
        <v>3</v>
      </c>
      <c r="AY400" s="14">
        <f t="shared" si="122"/>
        <v>0.126</v>
      </c>
      <c r="AZ400" s="19"/>
      <c r="BA400" s="14"/>
      <c r="BB400" s="13"/>
      <c r="BM400" s="13">
        <v>2</v>
      </c>
      <c r="BN400" s="13">
        <v>10</v>
      </c>
      <c r="BO400" s="13">
        <v>400</v>
      </c>
      <c r="BP400" s="13">
        <v>5</v>
      </c>
      <c r="BQ400" s="14">
        <f t="shared" si="121"/>
        <v>0.04</v>
      </c>
      <c r="BR400" s="37">
        <f>SUM(BP397:BP400)</f>
        <v>19</v>
      </c>
      <c r="BS400" s="36">
        <f>SUM(BQ397:BQ400)</f>
        <v>0.39199999999999996</v>
      </c>
      <c r="BT400" s="41" t="s">
        <v>21</v>
      </c>
    </row>
    <row r="401" spans="47:72" ht="15" customHeight="1" x14ac:dyDescent="0.25">
      <c r="AU401" s="13">
        <v>8</v>
      </c>
      <c r="AV401" s="13">
        <v>13</v>
      </c>
      <c r="AW401" s="13">
        <v>400</v>
      </c>
      <c r="AX401" s="13">
        <v>2</v>
      </c>
      <c r="AY401" s="14">
        <f t="shared" si="122"/>
        <v>8.3199999999999996E-2</v>
      </c>
      <c r="AZ401" s="19"/>
      <c r="BA401" s="14"/>
      <c r="BB401" s="13"/>
      <c r="BM401" s="173">
        <v>5.7</v>
      </c>
      <c r="BN401" s="173">
        <v>8</v>
      </c>
      <c r="BO401" s="173">
        <v>400</v>
      </c>
      <c r="BP401" s="173">
        <v>192</v>
      </c>
      <c r="BQ401" s="174">
        <f t="shared" si="121"/>
        <v>3.5020799999999999</v>
      </c>
      <c r="BR401" s="173"/>
      <c r="BS401" s="174"/>
      <c r="BT401" s="173"/>
    </row>
    <row r="402" spans="47:72" ht="15" customHeight="1" x14ac:dyDescent="0.25">
      <c r="AU402" s="13">
        <v>4.5</v>
      </c>
      <c r="AV402" s="13">
        <v>13</v>
      </c>
      <c r="AW402" s="13">
        <v>400</v>
      </c>
      <c r="AX402" s="13">
        <v>9</v>
      </c>
      <c r="AY402" s="14">
        <f t="shared" si="122"/>
        <v>0.21060000000000001</v>
      </c>
      <c r="AZ402" s="19"/>
      <c r="BA402" s="14"/>
      <c r="BB402" s="13"/>
      <c r="BM402" s="173">
        <v>4</v>
      </c>
      <c r="BN402" s="173">
        <v>6</v>
      </c>
      <c r="BO402" s="173">
        <v>400</v>
      </c>
      <c r="BP402" s="173">
        <v>366</v>
      </c>
      <c r="BQ402" s="174">
        <f t="shared" si="121"/>
        <v>3.5135999999999998</v>
      </c>
      <c r="BR402" s="173"/>
      <c r="BS402" s="174"/>
      <c r="BT402" s="173"/>
    </row>
    <row r="403" spans="47:72" ht="15" customHeight="1" x14ac:dyDescent="0.25">
      <c r="AU403" s="13">
        <v>7</v>
      </c>
      <c r="AV403" s="13">
        <v>13</v>
      </c>
      <c r="AW403" s="13">
        <v>400</v>
      </c>
      <c r="AX403" s="13">
        <v>5</v>
      </c>
      <c r="AY403" s="14">
        <f t="shared" si="122"/>
        <v>0.182</v>
      </c>
      <c r="AZ403" s="19"/>
      <c r="BA403" s="14"/>
      <c r="BB403" s="13"/>
      <c r="BM403" s="173">
        <v>3</v>
      </c>
      <c r="BN403" s="173">
        <v>5</v>
      </c>
      <c r="BO403" s="173">
        <v>400</v>
      </c>
      <c r="BP403" s="173">
        <v>120</v>
      </c>
      <c r="BQ403" s="174">
        <f t="shared" si="121"/>
        <v>0.72</v>
      </c>
      <c r="BR403" s="173"/>
      <c r="BS403" s="174"/>
      <c r="BT403" s="173"/>
    </row>
    <row r="404" spans="47:72" ht="15" customHeight="1" x14ac:dyDescent="0.25">
      <c r="AU404" s="13">
        <v>3.5</v>
      </c>
      <c r="AV404" s="13">
        <v>13</v>
      </c>
      <c r="AW404" s="13">
        <v>400</v>
      </c>
      <c r="AX404" s="13">
        <v>8</v>
      </c>
      <c r="AY404" s="14">
        <f t="shared" si="122"/>
        <v>0.14560000000000001</v>
      </c>
      <c r="AZ404" s="19"/>
      <c r="BA404" s="14"/>
      <c r="BB404" s="13"/>
      <c r="BM404" s="173">
        <v>2</v>
      </c>
      <c r="BN404" s="173">
        <v>3</v>
      </c>
      <c r="BO404" s="173">
        <v>400</v>
      </c>
      <c r="BP404" s="173">
        <v>525</v>
      </c>
      <c r="BQ404" s="174">
        <f t="shared" si="121"/>
        <v>1.26</v>
      </c>
      <c r="BR404" s="173"/>
      <c r="BS404" s="174"/>
      <c r="BT404" s="173"/>
    </row>
    <row r="405" spans="47:72" ht="15" customHeight="1" x14ac:dyDescent="0.25">
      <c r="AU405" s="13">
        <v>10</v>
      </c>
      <c r="AV405" s="13">
        <v>13</v>
      </c>
      <c r="AW405" s="13">
        <v>400</v>
      </c>
      <c r="AX405" s="13">
        <v>3</v>
      </c>
      <c r="AY405" s="14">
        <f t="shared" si="122"/>
        <v>0.156</v>
      </c>
      <c r="AZ405" s="19"/>
      <c r="BA405" s="14"/>
      <c r="BB405" s="13"/>
      <c r="BM405" s="173">
        <v>5.7</v>
      </c>
      <c r="BN405" s="173">
        <v>8</v>
      </c>
      <c r="BO405" s="173">
        <v>300</v>
      </c>
      <c r="BP405" s="173">
        <v>5</v>
      </c>
      <c r="BQ405" s="174">
        <f t="shared" si="121"/>
        <v>6.8400000000000002E-2</v>
      </c>
      <c r="BR405" s="175">
        <f>SUM(BP401:BP405)</f>
        <v>1208</v>
      </c>
      <c r="BS405" s="176">
        <f>SUM(BQ401:BQ405)</f>
        <v>9.0640800000000006</v>
      </c>
      <c r="BT405" s="177" t="s">
        <v>127</v>
      </c>
    </row>
    <row r="406" spans="47:72" ht="15" customHeight="1" thickBot="1" x14ac:dyDescent="0.3">
      <c r="AU406" s="13">
        <v>2.2000000000000002</v>
      </c>
      <c r="AV406" s="13">
        <v>13</v>
      </c>
      <c r="AW406" s="13">
        <v>400</v>
      </c>
      <c r="AX406" s="13">
        <v>5</v>
      </c>
      <c r="AY406" s="14">
        <f t="shared" si="122"/>
        <v>5.7200000000000001E-2</v>
      </c>
      <c r="AZ406" s="19"/>
      <c r="BA406" s="14"/>
      <c r="BB406" s="13"/>
      <c r="BM406" s="237"/>
      <c r="BN406" s="237"/>
      <c r="BO406" s="238"/>
      <c r="BP406" s="98">
        <f>SUM(BP349:BP405)</f>
        <v>1552</v>
      </c>
      <c r="BQ406" s="48">
        <f>SUM(BQ349:BQ405)</f>
        <v>13.478090000000002</v>
      </c>
      <c r="BR406" s="98">
        <f>SUM(BR349:BR405)</f>
        <v>1552</v>
      </c>
      <c r="BS406" s="48">
        <f>SUM(BS349:BS405)</f>
        <v>13.478090000000002</v>
      </c>
      <c r="BT406" s="104"/>
    </row>
    <row r="407" spans="47:72" ht="15" customHeight="1" thickTop="1" x14ac:dyDescent="0.25">
      <c r="AU407" s="13">
        <v>1.7</v>
      </c>
      <c r="AV407" s="13">
        <v>13</v>
      </c>
      <c r="AW407" s="13">
        <v>400</v>
      </c>
      <c r="AX407" s="13">
        <v>1</v>
      </c>
      <c r="AY407" s="14">
        <f t="shared" si="122"/>
        <v>8.8400000000000006E-3</v>
      </c>
      <c r="AZ407" s="19"/>
      <c r="BA407" s="14"/>
      <c r="BB407" s="13"/>
    </row>
    <row r="408" spans="47:72" ht="15" customHeight="1" x14ac:dyDescent="0.25">
      <c r="AU408" s="13">
        <v>4.5</v>
      </c>
      <c r="AV408" s="13">
        <v>10</v>
      </c>
      <c r="AW408" s="13">
        <v>400</v>
      </c>
      <c r="AX408" s="13">
        <v>38</v>
      </c>
      <c r="AY408" s="14">
        <f t="shared" si="122"/>
        <v>0.68400000000000005</v>
      </c>
      <c r="AZ408" s="19"/>
      <c r="BA408" s="14"/>
      <c r="BB408" s="13"/>
      <c r="BM408" s="8" t="s">
        <v>125</v>
      </c>
    </row>
    <row r="409" spans="47:72" ht="15" customHeight="1" x14ac:dyDescent="0.25">
      <c r="AU409" s="13">
        <v>7</v>
      </c>
      <c r="AV409" s="13">
        <v>10</v>
      </c>
      <c r="AW409" s="13">
        <v>400</v>
      </c>
      <c r="AX409" s="13">
        <v>4</v>
      </c>
      <c r="AY409" s="14">
        <f t="shared" si="122"/>
        <v>0.112</v>
      </c>
      <c r="AZ409" s="19"/>
      <c r="BA409" s="14"/>
      <c r="BB409" s="13"/>
      <c r="BM409" s="4" t="s">
        <v>24</v>
      </c>
      <c r="BN409" s="4"/>
      <c r="BO409" s="6">
        <f>SUM(BP272)</f>
        <v>1565</v>
      </c>
      <c r="BP409" s="7">
        <f>SUM(BQ272)</f>
        <v>12.116719999999999</v>
      </c>
      <c r="BQ409" s="7" t="s">
        <v>23</v>
      </c>
      <c r="BR409" s="6">
        <f>SUM(BR396+BR375+BR339+BR271)</f>
        <v>2552</v>
      </c>
      <c r="BS409" s="7">
        <f>SUM(BS396+BS375+BS339+BS271)</f>
        <v>28.38241</v>
      </c>
    </row>
    <row r="410" spans="47:72" ht="15" customHeight="1" x14ac:dyDescent="0.25">
      <c r="AU410" s="13">
        <v>2.2000000000000002</v>
      </c>
      <c r="AV410" s="13">
        <v>10</v>
      </c>
      <c r="AW410" s="13">
        <v>400</v>
      </c>
      <c r="AX410" s="13">
        <v>19</v>
      </c>
      <c r="AY410" s="14">
        <f t="shared" si="122"/>
        <v>0.16719999999999999</v>
      </c>
      <c r="AZ410" s="19"/>
      <c r="BA410" s="14"/>
      <c r="BB410" s="13"/>
      <c r="BM410" s="4" t="s">
        <v>22</v>
      </c>
      <c r="BN410" s="4"/>
      <c r="BO410" s="6">
        <f>SUM(BP340)</f>
        <v>672</v>
      </c>
      <c r="BP410" s="7">
        <f>SUM(BQ340)</f>
        <v>12.491680000000001</v>
      </c>
      <c r="BQ410" s="7" t="s">
        <v>21</v>
      </c>
      <c r="BR410" s="6">
        <f>SUM(BR400+BR287)</f>
        <v>29</v>
      </c>
      <c r="BS410" s="5">
        <f>SUM(BS400+BS287)</f>
        <v>0.64</v>
      </c>
    </row>
    <row r="411" spans="47:72" ht="15" customHeight="1" x14ac:dyDescent="0.25">
      <c r="AU411" s="13">
        <v>3.5</v>
      </c>
      <c r="AV411" s="13">
        <v>10</v>
      </c>
      <c r="AW411" s="13">
        <v>400</v>
      </c>
      <c r="AX411" s="13">
        <v>11</v>
      </c>
      <c r="AY411" s="14">
        <f t="shared" si="122"/>
        <v>0.154</v>
      </c>
      <c r="AZ411" s="19"/>
      <c r="BA411" s="35"/>
      <c r="BB411" s="13"/>
      <c r="BM411" s="4" t="s">
        <v>20</v>
      </c>
      <c r="BN411" s="4"/>
      <c r="BO411" s="6">
        <f>SUM(BP406)</f>
        <v>1552</v>
      </c>
      <c r="BP411" s="5">
        <f>SUM(BQ406)</f>
        <v>13.478090000000002</v>
      </c>
      <c r="BQ411" s="7" t="s">
        <v>127</v>
      </c>
      <c r="BR411" s="6">
        <f>SUM(BR405)</f>
        <v>1208</v>
      </c>
      <c r="BS411" s="5">
        <f>SUM(BS405)</f>
        <v>9.0640800000000006</v>
      </c>
    </row>
    <row r="412" spans="47:72" ht="15" customHeight="1" thickBot="1" x14ac:dyDescent="0.3">
      <c r="AU412" s="122">
        <v>5</v>
      </c>
      <c r="AV412" s="122">
        <v>7</v>
      </c>
      <c r="AW412" s="122">
        <v>400</v>
      </c>
      <c r="AX412" s="122">
        <v>76</v>
      </c>
      <c r="AY412" s="123">
        <f t="shared" si="122"/>
        <v>1.0640000000000001</v>
      </c>
      <c r="AZ412" s="122"/>
      <c r="BA412" s="132"/>
      <c r="BB412" s="164"/>
      <c r="BM412" s="4"/>
      <c r="BN412" s="4"/>
      <c r="BO412" s="30">
        <f>SUM(BO409:BO411)</f>
        <v>3789</v>
      </c>
      <c r="BP412" s="29">
        <f>SUM(BP409:BP411)</f>
        <v>38.086489999999998</v>
      </c>
      <c r="BQ412" s="4"/>
      <c r="BR412" s="3">
        <f>SUM(BR409:BR411)</f>
        <v>3789</v>
      </c>
      <c r="BS412" s="147">
        <f>SUM(BS409:BS411)</f>
        <v>38.086489999999998</v>
      </c>
    </row>
    <row r="413" spans="47:72" ht="15" customHeight="1" thickTop="1" x14ac:dyDescent="0.25">
      <c r="AU413" s="13">
        <v>2.2000000000000002</v>
      </c>
      <c r="AV413" s="13">
        <v>17</v>
      </c>
      <c r="AW413" s="13">
        <v>300</v>
      </c>
      <c r="AX413" s="13">
        <v>3</v>
      </c>
      <c r="AY413" s="14">
        <f t="shared" ref="AY413:AY430" si="123">AU413*AV413*AW413*AX413/1000000</f>
        <v>3.3660000000000009E-2</v>
      </c>
      <c r="AZ413" s="51"/>
      <c r="BA413" s="14"/>
      <c r="BB413" s="13"/>
    </row>
    <row r="414" spans="47:72" ht="15" customHeight="1" x14ac:dyDescent="0.25">
      <c r="AU414" s="13">
        <v>2.2000000000000002</v>
      </c>
      <c r="AV414" s="13">
        <v>30</v>
      </c>
      <c r="AW414" s="13">
        <v>300</v>
      </c>
      <c r="AX414" s="13">
        <v>1</v>
      </c>
      <c r="AY414" s="14">
        <f t="shared" si="123"/>
        <v>1.9800000000000002E-2</v>
      </c>
      <c r="AZ414" s="19"/>
      <c r="BA414" s="14"/>
      <c r="BB414" s="13"/>
      <c r="BQ414" s="7" t="s">
        <v>118</v>
      </c>
      <c r="BR414" s="6">
        <f>SUM(BP375:BP378,BP360:BP361,BP335:BP339,BP267:BP270,)</f>
        <v>2070</v>
      </c>
      <c r="BS414" s="40">
        <f>SUM(BQ375:BQ378,BQ360:BQ361,BQ335:BQ339,BQ267:BQ270,)</f>
        <v>9.8079999999999998</v>
      </c>
    </row>
    <row r="415" spans="47:72" ht="15" customHeight="1" x14ac:dyDescent="0.25">
      <c r="AU415" s="13">
        <v>2.2000000000000002</v>
      </c>
      <c r="AV415" s="13">
        <v>25</v>
      </c>
      <c r="AW415" s="13">
        <v>300</v>
      </c>
      <c r="AX415" s="13">
        <v>7</v>
      </c>
      <c r="AY415" s="14">
        <f t="shared" si="123"/>
        <v>0.11550000000000003</v>
      </c>
      <c r="AZ415" s="19"/>
      <c r="BA415" s="14"/>
      <c r="BB415" s="13"/>
      <c r="BQ415" s="7" t="s">
        <v>119</v>
      </c>
      <c r="BR415" s="6">
        <f>SUM(BP379:BP396,BP362:BP374,BP349:BP359,BP288:BP334,BP271,BP230:BP266)</f>
        <v>482</v>
      </c>
      <c r="BS415" s="4">
        <f>SUM(BQ379:BQ396,BQ362:BQ374,BQ349:BQ359,BQ288:BQ334,BQ271,BQ230:BQ266)</f>
        <v>18.57441</v>
      </c>
    </row>
    <row r="416" spans="47:72" ht="15" customHeight="1" x14ac:dyDescent="0.25">
      <c r="AU416" s="13">
        <v>3.5</v>
      </c>
      <c r="AV416" s="13">
        <v>23</v>
      </c>
      <c r="AW416" s="13">
        <v>300</v>
      </c>
      <c r="AX416" s="13">
        <v>1</v>
      </c>
      <c r="AY416" s="14">
        <f t="shared" si="123"/>
        <v>2.4150000000000001E-2</v>
      </c>
      <c r="AZ416" s="19"/>
      <c r="BA416" s="14"/>
      <c r="BB416" s="13"/>
      <c r="BQ416" s="7" t="s">
        <v>148</v>
      </c>
      <c r="BR416" s="6">
        <f>SUM(BP397:BP400,BP281:BP287,)</f>
        <v>29</v>
      </c>
      <c r="BS416" s="40">
        <f>SUM(BQ397:BQ400,BQ281:BQ287,)</f>
        <v>0.64</v>
      </c>
    </row>
    <row r="417" spans="47:71" ht="15" customHeight="1" thickBot="1" x14ac:dyDescent="0.3">
      <c r="AU417" s="13">
        <v>2.2000000000000002</v>
      </c>
      <c r="AV417" s="13">
        <v>20</v>
      </c>
      <c r="AW417" s="13">
        <v>300</v>
      </c>
      <c r="AX417" s="13">
        <v>9</v>
      </c>
      <c r="AY417" s="14">
        <f t="shared" si="123"/>
        <v>0.1188</v>
      </c>
      <c r="AZ417" s="19"/>
      <c r="BA417" s="14"/>
      <c r="BB417" s="13"/>
      <c r="BQ417" s="7"/>
      <c r="BR417" s="3">
        <f>SUM(BR414:BR416)</f>
        <v>2581</v>
      </c>
      <c r="BS417" s="147">
        <f>SUM(BS414:BS416)</f>
        <v>29.022410000000001</v>
      </c>
    </row>
    <row r="418" spans="47:71" ht="15" customHeight="1" thickTop="1" x14ac:dyDescent="0.25">
      <c r="AU418" s="13">
        <v>2.2000000000000002</v>
      </c>
      <c r="AV418" s="13">
        <v>15</v>
      </c>
      <c r="AW418" s="13">
        <v>300</v>
      </c>
      <c r="AX418" s="13">
        <v>30</v>
      </c>
      <c r="AY418" s="14">
        <f t="shared" si="123"/>
        <v>0.29699999999999999</v>
      </c>
      <c r="AZ418" s="19"/>
      <c r="BA418" s="14"/>
      <c r="BB418" s="13"/>
      <c r="BQ418" s="4"/>
      <c r="BR418" s="4"/>
      <c r="BS418" s="4"/>
    </row>
    <row r="419" spans="47:71" ht="15" customHeight="1" x14ac:dyDescent="0.25">
      <c r="AU419" s="13">
        <v>3.5</v>
      </c>
      <c r="AV419" s="13">
        <v>15</v>
      </c>
      <c r="AW419" s="13">
        <v>300</v>
      </c>
      <c r="AX419" s="13">
        <v>1</v>
      </c>
      <c r="AY419" s="14">
        <f t="shared" si="123"/>
        <v>1.575E-2</v>
      </c>
      <c r="AZ419" s="19"/>
      <c r="BA419" s="14"/>
      <c r="BB419" s="13"/>
      <c r="BQ419" s="4"/>
      <c r="BR419" s="4"/>
      <c r="BS419" s="4"/>
    </row>
    <row r="420" spans="47:71" ht="15" customHeight="1" x14ac:dyDescent="0.25">
      <c r="AU420" s="13">
        <v>10</v>
      </c>
      <c r="AV420" s="13">
        <v>15</v>
      </c>
      <c r="AW420" s="13">
        <v>300</v>
      </c>
      <c r="AX420" s="13">
        <v>1</v>
      </c>
      <c r="AY420" s="14">
        <f t="shared" si="123"/>
        <v>4.4999999999999998E-2</v>
      </c>
      <c r="AZ420" s="19"/>
      <c r="BA420" s="14"/>
      <c r="BB420" s="13"/>
    </row>
    <row r="421" spans="47:71" ht="15" customHeight="1" x14ac:dyDescent="0.25">
      <c r="AU421" s="13">
        <v>4.5</v>
      </c>
      <c r="AV421" s="13">
        <v>10</v>
      </c>
      <c r="AW421" s="13">
        <v>300</v>
      </c>
      <c r="AX421" s="13">
        <v>38</v>
      </c>
      <c r="AY421" s="14">
        <f t="shared" si="123"/>
        <v>0.51300000000000001</v>
      </c>
      <c r="AZ421" s="19"/>
      <c r="BA421" s="14"/>
      <c r="BB421" s="13"/>
    </row>
    <row r="422" spans="47:71" ht="15" customHeight="1" x14ac:dyDescent="0.25">
      <c r="AU422" s="13">
        <v>2.2000000000000002</v>
      </c>
      <c r="AV422" s="13">
        <v>10</v>
      </c>
      <c r="AW422" s="13">
        <v>300</v>
      </c>
      <c r="AX422" s="13">
        <v>28</v>
      </c>
      <c r="AY422" s="14">
        <f t="shared" si="123"/>
        <v>0.18479999999999999</v>
      </c>
      <c r="AZ422" s="19"/>
      <c r="BA422" s="14"/>
      <c r="BB422" s="13"/>
    </row>
    <row r="423" spans="47:71" ht="15" customHeight="1" x14ac:dyDescent="0.25">
      <c r="AU423" s="13">
        <v>3.5</v>
      </c>
      <c r="AV423" s="13">
        <v>10</v>
      </c>
      <c r="AW423" s="13">
        <v>300</v>
      </c>
      <c r="AX423" s="13">
        <v>4</v>
      </c>
      <c r="AY423" s="14">
        <f t="shared" si="123"/>
        <v>4.2000000000000003E-2</v>
      </c>
      <c r="AZ423" s="19"/>
      <c r="BA423" s="14"/>
      <c r="BB423" s="13"/>
    </row>
    <row r="424" spans="47:71" ht="15" customHeight="1" x14ac:dyDescent="0.25">
      <c r="AU424" s="13">
        <v>2.2000000000000002</v>
      </c>
      <c r="AV424" s="13">
        <v>10</v>
      </c>
      <c r="AW424" s="13">
        <v>200</v>
      </c>
      <c r="AX424" s="13">
        <v>1</v>
      </c>
      <c r="AY424" s="14">
        <f t="shared" si="123"/>
        <v>4.4000000000000003E-3</v>
      </c>
      <c r="AZ424" s="19"/>
      <c r="BA424" s="14"/>
      <c r="BB424" s="13"/>
    </row>
    <row r="425" spans="47:71" ht="15" customHeight="1" x14ac:dyDescent="0.25">
      <c r="AU425" s="13">
        <v>3.5</v>
      </c>
      <c r="AV425" s="13">
        <v>10</v>
      </c>
      <c r="AW425" s="13">
        <v>200</v>
      </c>
      <c r="AX425" s="13">
        <v>3</v>
      </c>
      <c r="AY425" s="14">
        <f t="shared" si="123"/>
        <v>2.1000000000000001E-2</v>
      </c>
      <c r="AZ425" s="19"/>
      <c r="BA425" s="14"/>
      <c r="BB425" s="13"/>
    </row>
    <row r="426" spans="47:71" ht="15" customHeight="1" x14ac:dyDescent="0.25">
      <c r="AU426" s="13">
        <v>4.5</v>
      </c>
      <c r="AV426" s="13">
        <v>10</v>
      </c>
      <c r="AW426" s="13">
        <v>200</v>
      </c>
      <c r="AX426" s="13">
        <v>2</v>
      </c>
      <c r="AY426" s="14">
        <f t="shared" si="123"/>
        <v>1.7999999999999999E-2</v>
      </c>
      <c r="AZ426" s="19"/>
      <c r="BA426" s="14"/>
      <c r="BB426" s="13"/>
    </row>
    <row r="427" spans="47:71" ht="15" customHeight="1" x14ac:dyDescent="0.25">
      <c r="AU427" s="13">
        <v>4.5</v>
      </c>
      <c r="AV427" s="13">
        <v>13</v>
      </c>
      <c r="AW427" s="13">
        <v>300</v>
      </c>
      <c r="AX427" s="13">
        <v>3</v>
      </c>
      <c r="AY427" s="14">
        <f t="shared" si="123"/>
        <v>5.2650000000000002E-2</v>
      </c>
      <c r="AZ427" s="19"/>
      <c r="BA427" s="14"/>
      <c r="BB427" s="13"/>
    </row>
    <row r="428" spans="47:71" ht="15" customHeight="1" x14ac:dyDescent="0.25">
      <c r="AU428" s="13">
        <v>3.2</v>
      </c>
      <c r="AV428" s="13">
        <v>7</v>
      </c>
      <c r="AW428" s="13">
        <v>300</v>
      </c>
      <c r="AX428" s="13">
        <v>10</v>
      </c>
      <c r="AY428" s="14">
        <f t="shared" si="123"/>
        <v>6.720000000000001E-2</v>
      </c>
      <c r="AZ428" s="19"/>
      <c r="BA428" s="14"/>
      <c r="BB428" s="13"/>
    </row>
    <row r="429" spans="47:71" ht="15" customHeight="1" x14ac:dyDescent="0.25">
      <c r="AU429" s="13">
        <v>4.2</v>
      </c>
      <c r="AV429" s="13">
        <v>7</v>
      </c>
      <c r="AW429" s="13">
        <v>300</v>
      </c>
      <c r="AX429" s="13">
        <v>7</v>
      </c>
      <c r="AY429" s="14">
        <f t="shared" si="123"/>
        <v>6.1740000000000003E-2</v>
      </c>
      <c r="AZ429" s="19"/>
      <c r="BA429" s="14"/>
      <c r="BB429" s="13"/>
    </row>
    <row r="430" spans="47:71" ht="15" customHeight="1" x14ac:dyDescent="0.25">
      <c r="AU430" s="13">
        <v>2.2000000000000002</v>
      </c>
      <c r="AV430" s="13">
        <v>13</v>
      </c>
      <c r="AW430" s="13">
        <v>300</v>
      </c>
      <c r="AX430" s="13">
        <v>17</v>
      </c>
      <c r="AY430" s="14">
        <f t="shared" si="123"/>
        <v>0.14585999999999999</v>
      </c>
      <c r="AZ430" s="19">
        <f>SUM(AX376:AX430)</f>
        <v>425</v>
      </c>
      <c r="BA430" s="50">
        <f>SUM(AY376:AY430)</f>
        <v>9.4039500000000036</v>
      </c>
      <c r="BB430" s="33" t="s">
        <v>23</v>
      </c>
    </row>
    <row r="431" spans="47:71" ht="15" customHeight="1" thickBot="1" x14ac:dyDescent="0.3">
      <c r="AX431" s="98">
        <f>SUM(AX347:AX430)</f>
        <v>636</v>
      </c>
      <c r="AY431" s="99">
        <f>SUM(AY347:AY430)</f>
        <v>12.015950000000004</v>
      </c>
      <c r="AZ431" s="98">
        <f>SUM(AZ347:AZ430)</f>
        <v>636</v>
      </c>
      <c r="BA431" s="99">
        <f>SUM(BA347:BA430)</f>
        <v>12.015950000000004</v>
      </c>
      <c r="BB431" s="98"/>
    </row>
    <row r="432" spans="47:71" ht="15" customHeight="1" thickTop="1" x14ac:dyDescent="0.25"/>
    <row r="433" spans="47:53" ht="15" customHeight="1" x14ac:dyDescent="0.25">
      <c r="AU433" s="8" t="s">
        <v>102</v>
      </c>
    </row>
    <row r="434" spans="47:53" ht="15" customHeight="1" x14ac:dyDescent="0.25">
      <c r="AU434" s="4" t="s">
        <v>24</v>
      </c>
      <c r="AV434" s="4"/>
      <c r="AW434" s="6">
        <f>SUM(AX320)</f>
        <v>488</v>
      </c>
      <c r="AX434" s="7">
        <f>SUM(AY320)</f>
        <v>11.79477</v>
      </c>
      <c r="AY434" s="7" t="s">
        <v>23</v>
      </c>
      <c r="AZ434" s="6">
        <f>SUM(AZ430,AZ338,AZ319)</f>
        <v>3099</v>
      </c>
      <c r="BA434" s="5">
        <f>SUM(BA430,BA338,BA319)</f>
        <v>31.769220000000004</v>
      </c>
    </row>
    <row r="435" spans="47:53" ht="15" customHeight="1" x14ac:dyDescent="0.25">
      <c r="AU435" s="4" t="s">
        <v>22</v>
      </c>
      <c r="AV435" s="4"/>
      <c r="AW435" s="6">
        <f>SUM(AX338)</f>
        <v>2244</v>
      </c>
      <c r="AX435" s="5">
        <f>SUM(AY338)</f>
        <v>11.016</v>
      </c>
      <c r="AY435" s="7" t="s">
        <v>21</v>
      </c>
      <c r="AZ435" s="6">
        <f>SUM(AZ375,AZ262)</f>
        <v>269</v>
      </c>
      <c r="BA435" s="7">
        <f>SUM(BA375,BA262)</f>
        <v>3.0575000000000001</v>
      </c>
    </row>
    <row r="436" spans="47:53" ht="15" customHeight="1" thickBot="1" x14ac:dyDescent="0.3">
      <c r="AU436" s="4" t="s">
        <v>20</v>
      </c>
      <c r="AV436" s="4"/>
      <c r="AW436" s="6">
        <f>SUM(AX431)</f>
        <v>636</v>
      </c>
      <c r="AX436" s="5">
        <f>SUM(AY431)</f>
        <v>12.015950000000004</v>
      </c>
      <c r="AY436" s="4"/>
      <c r="AZ436" s="3">
        <f>SUM(AZ434:AZ435)</f>
        <v>3368</v>
      </c>
      <c r="BA436" s="53">
        <f>SUM(BA434:BA435)</f>
        <v>34.826720000000002</v>
      </c>
    </row>
    <row r="437" spans="47:53" ht="15" customHeight="1" thickTop="1" thickBot="1" x14ac:dyDescent="0.3">
      <c r="AU437" s="4"/>
      <c r="AV437" s="4"/>
      <c r="AW437" s="30">
        <f>SUM(AW434:AW436)</f>
        <v>3368</v>
      </c>
      <c r="AX437" s="29">
        <f>SUM(AX434:AX436)</f>
        <v>34.826720000000002</v>
      </c>
      <c r="AY437" s="4"/>
      <c r="AZ437" s="4"/>
      <c r="BA437" s="4"/>
    </row>
    <row r="438" spans="47:53" ht="15" customHeight="1" thickTop="1" x14ac:dyDescent="0.25">
      <c r="AY438" s="7" t="s">
        <v>118</v>
      </c>
      <c r="AZ438" s="6">
        <f>SUM(AX412,AX329:AX332,)</f>
        <v>2293</v>
      </c>
      <c r="BA438" s="5">
        <f>SUM(AY412,AY329:AY332,)</f>
        <v>11.5624</v>
      </c>
    </row>
    <row r="439" spans="47:53" ht="15" customHeight="1" x14ac:dyDescent="0.25">
      <c r="AY439" s="7" t="s">
        <v>119</v>
      </c>
      <c r="AZ439" s="6">
        <f>SUM(AX413:AX430,AX376:AX411,AX333:AX337,AX263:AX319)</f>
        <v>806</v>
      </c>
      <c r="BA439" s="5">
        <f>SUM(AY413:AY430,AY376:AY411,AY333:AY337,AY263:AY319)</f>
        <v>20.206819999999997</v>
      </c>
    </row>
    <row r="440" spans="47:53" ht="15" customHeight="1" x14ac:dyDescent="0.25">
      <c r="AY440" s="7" t="s">
        <v>149</v>
      </c>
      <c r="AZ440" s="6">
        <f>SUM(AX367:AX370,)</f>
        <v>140</v>
      </c>
      <c r="BA440" s="7">
        <f>SUM(AY367:AY370,)</f>
        <v>0.8216</v>
      </c>
    </row>
    <row r="441" spans="47:53" ht="15" customHeight="1" x14ac:dyDescent="0.25">
      <c r="AY441" s="7" t="s">
        <v>148</v>
      </c>
      <c r="AZ441" s="6">
        <f>SUM(AX371:AX375,AX347:AX366,AZ262)</f>
        <v>129</v>
      </c>
      <c r="BA441" s="7">
        <f>SUM(AY371:AY375,AY347:AY366,BA262)</f>
        <v>2.2359</v>
      </c>
    </row>
    <row r="442" spans="47:53" ht="15" customHeight="1" thickBot="1" x14ac:dyDescent="0.3">
      <c r="AY442" s="4"/>
      <c r="AZ442" s="3">
        <f>SUM(AZ438:AZ441)</f>
        <v>3368</v>
      </c>
      <c r="BA442" s="53">
        <f>SUM(BA438:BA441)</f>
        <v>34.826719999999995</v>
      </c>
    </row>
    <row r="443" spans="47:53" ht="15" customHeight="1" thickTop="1" x14ac:dyDescent="0.25"/>
  </sheetData>
  <autoFilter ref="BV215:BZ247" xr:uid="{ACBCA9A0-851F-462E-8970-43B9F2941D57}"/>
  <sortState xmlns:xlrd2="http://schemas.microsoft.com/office/spreadsheetml/2017/richdata2" ref="CN8:CR40">
    <sortCondition descending="1" ref="CN8:CN40"/>
    <sortCondition descending="1" ref="CO8:CO40"/>
    <sortCondition descending="1" ref="CP8:CP40"/>
    <sortCondition descending="1" ref="CQ8:CQ40"/>
  </sortState>
  <mergeCells count="538">
    <mergeCell ref="CW244:DD245"/>
    <mergeCell ref="DC246:DD247"/>
    <mergeCell ref="DB248:DD248"/>
    <mergeCell ref="CW249:CY249"/>
    <mergeCell ref="CZ249:DA249"/>
    <mergeCell ref="DB249:DC249"/>
    <mergeCell ref="DD249:DD250"/>
    <mergeCell ref="DB204:DC204"/>
    <mergeCell ref="DD204:DD205"/>
    <mergeCell ref="CW199:DD200"/>
    <mergeCell ref="DC201:DD202"/>
    <mergeCell ref="DB203:DD203"/>
    <mergeCell ref="DB55:DD55"/>
    <mergeCell ref="CW56:CY56"/>
    <mergeCell ref="CZ56:DA56"/>
    <mergeCell ref="DB56:DC56"/>
    <mergeCell ref="DD56:DD57"/>
    <mergeCell ref="CW166:CY166"/>
    <mergeCell ref="CZ166:DA166"/>
    <mergeCell ref="DB166:DC166"/>
    <mergeCell ref="DD166:DD167"/>
    <mergeCell ref="CW1:DD2"/>
    <mergeCell ref="DC3:DD4"/>
    <mergeCell ref="DB5:DD5"/>
    <mergeCell ref="CW6:CY6"/>
    <mergeCell ref="CZ6:DA6"/>
    <mergeCell ref="DB6:DC6"/>
    <mergeCell ref="DD6:DD7"/>
    <mergeCell ref="CW51:DD52"/>
    <mergeCell ref="CN1:CU2"/>
    <mergeCell ref="CT3:CU4"/>
    <mergeCell ref="CS5:CU5"/>
    <mergeCell ref="CN6:CP6"/>
    <mergeCell ref="CQ6:CR6"/>
    <mergeCell ref="CS6:CT6"/>
    <mergeCell ref="CU6:CU7"/>
    <mergeCell ref="CS59:CU59"/>
    <mergeCell ref="CN60:CP60"/>
    <mergeCell ref="CQ60:CR60"/>
    <mergeCell ref="CS60:CT60"/>
    <mergeCell ref="CU60:CU61"/>
    <mergeCell ref="CN55:CU56"/>
    <mergeCell ref="CT57:CU58"/>
    <mergeCell ref="BS225:BT226"/>
    <mergeCell ref="BJ3:BK4"/>
    <mergeCell ref="BJ198:BK199"/>
    <mergeCell ref="CK3:CL4"/>
    <mergeCell ref="CB211:CC212"/>
    <mergeCell ref="CE110:CL111"/>
    <mergeCell ref="CJ114:CL114"/>
    <mergeCell ref="CE115:CG115"/>
    <mergeCell ref="CH115:CI115"/>
    <mergeCell ref="CJ115:CK115"/>
    <mergeCell ref="CL115:CL116"/>
    <mergeCell ref="CG185:CI185"/>
    <mergeCell ref="CN105:CP105"/>
    <mergeCell ref="CQ105:CR105"/>
    <mergeCell ref="CS105:CT105"/>
    <mergeCell ref="CU105:CU106"/>
    <mergeCell ref="CN163:CU164"/>
    <mergeCell ref="BA3:BB4"/>
    <mergeCell ref="BA243:BB244"/>
    <mergeCell ref="AR106:AS107"/>
    <mergeCell ref="AR3:AS4"/>
    <mergeCell ref="CE79:CL80"/>
    <mergeCell ref="CJ83:CL83"/>
    <mergeCell ref="CE84:CG84"/>
    <mergeCell ref="CH84:CI84"/>
    <mergeCell ref="CJ84:CK84"/>
    <mergeCell ref="CL84:CL85"/>
    <mergeCell ref="BV134:BX134"/>
    <mergeCell ref="BY134:BZ134"/>
    <mergeCell ref="CA134:CB134"/>
    <mergeCell ref="CC134:CC135"/>
    <mergeCell ref="BV209:CC210"/>
    <mergeCell ref="CA213:CC213"/>
    <mergeCell ref="BV214:BX214"/>
    <mergeCell ref="BY214:BZ214"/>
    <mergeCell ref="CA214:CB214"/>
    <mergeCell ref="CC214:CC215"/>
    <mergeCell ref="AL69:AS70"/>
    <mergeCell ref="AQ73:AS73"/>
    <mergeCell ref="AL95:AN95"/>
    <mergeCell ref="AL74:AN74"/>
    <mergeCell ref="H113:I114"/>
    <mergeCell ref="Q3:R4"/>
    <mergeCell ref="BS3:BT4"/>
    <mergeCell ref="CB3:CC4"/>
    <mergeCell ref="AI3:AJ4"/>
    <mergeCell ref="Z3:AA4"/>
    <mergeCell ref="BV129:CC130"/>
    <mergeCell ref="CA133:CC133"/>
    <mergeCell ref="AQ21:AR21"/>
    <mergeCell ref="AL67:AN67"/>
    <mergeCell ref="B29:I30"/>
    <mergeCell ref="G33:I33"/>
    <mergeCell ref="B34:D34"/>
    <mergeCell ref="E34:F34"/>
    <mergeCell ref="G34:H34"/>
    <mergeCell ref="I34:I35"/>
    <mergeCell ref="T100:V100"/>
    <mergeCell ref="W59:X59"/>
    <mergeCell ref="Y59:Z59"/>
    <mergeCell ref="AA59:AA60"/>
    <mergeCell ref="AZ88:BB88"/>
    <mergeCell ref="AX89:AY89"/>
    <mergeCell ref="AZ89:BA89"/>
    <mergeCell ref="BB89:BB90"/>
    <mergeCell ref="AU228:AW228"/>
    <mergeCell ref="AL302:AN302"/>
    <mergeCell ref="BV250:CC251"/>
    <mergeCell ref="CA254:CC254"/>
    <mergeCell ref="BV255:BX255"/>
    <mergeCell ref="BY255:BZ255"/>
    <mergeCell ref="CA255:CB255"/>
    <mergeCell ref="CC255:CC256"/>
    <mergeCell ref="BV290:CC291"/>
    <mergeCell ref="CA294:CC294"/>
    <mergeCell ref="BV295:BX295"/>
    <mergeCell ref="BY295:BZ295"/>
    <mergeCell ref="CA295:CB295"/>
    <mergeCell ref="CC295:CC296"/>
    <mergeCell ref="BB246:BB247"/>
    <mergeCell ref="BR228:BS228"/>
    <mergeCell ref="BT228:BT229"/>
    <mergeCell ref="BM272:BO272"/>
    <mergeCell ref="AC315:AE315"/>
    <mergeCell ref="AH267:AI267"/>
    <mergeCell ref="AJ267:AJ268"/>
    <mergeCell ref="AF219:AG219"/>
    <mergeCell ref="AH219:AI219"/>
    <mergeCell ref="AJ219:AJ220"/>
    <mergeCell ref="AC262:AE262"/>
    <mergeCell ref="AH266:AJ266"/>
    <mergeCell ref="AC267:AE267"/>
    <mergeCell ref="AF267:AG267"/>
    <mergeCell ref="AC176:AJ177"/>
    <mergeCell ref="AH180:AJ180"/>
    <mergeCell ref="AC181:AE181"/>
    <mergeCell ref="AF181:AG181"/>
    <mergeCell ref="AH181:AI181"/>
    <mergeCell ref="AJ181:AJ182"/>
    <mergeCell ref="AC210:AE210"/>
    <mergeCell ref="AH218:AJ218"/>
    <mergeCell ref="AC219:AE219"/>
    <mergeCell ref="AO74:AP74"/>
    <mergeCell ref="AQ74:AR74"/>
    <mergeCell ref="AS74:AS75"/>
    <mergeCell ref="AU89:AW89"/>
    <mergeCell ref="AL245:AN245"/>
    <mergeCell ref="AO245:AP245"/>
    <mergeCell ref="AQ245:AR245"/>
    <mergeCell ref="AS245:AS246"/>
    <mergeCell ref="AS176:AS177"/>
    <mergeCell ref="AL238:AN238"/>
    <mergeCell ref="AL240:AS241"/>
    <mergeCell ref="AL171:AS172"/>
    <mergeCell ref="AQ175:AS175"/>
    <mergeCell ref="AL176:AN176"/>
    <mergeCell ref="AO176:AP176"/>
    <mergeCell ref="AQ176:AR176"/>
    <mergeCell ref="AU151:AW151"/>
    <mergeCell ref="AQ244:AS244"/>
    <mergeCell ref="AL169:AN169"/>
    <mergeCell ref="AU241:BB242"/>
    <mergeCell ref="AZ245:BB245"/>
    <mergeCell ref="AU246:AW246"/>
    <mergeCell ref="AX246:AY246"/>
    <mergeCell ref="AZ246:BA246"/>
    <mergeCell ref="T1:AA2"/>
    <mergeCell ref="AH62:AI62"/>
    <mergeCell ref="AJ62:AJ63"/>
    <mergeCell ref="AS21:AS22"/>
    <mergeCell ref="AL1:AS2"/>
    <mergeCell ref="AQ5:AS5"/>
    <mergeCell ref="AL6:AN6"/>
    <mergeCell ref="AO6:AP6"/>
    <mergeCell ref="AQ6:AR6"/>
    <mergeCell ref="AS6:AS7"/>
    <mergeCell ref="AL14:AN14"/>
    <mergeCell ref="AL16:AS17"/>
    <mergeCell ref="AQ20:AS20"/>
    <mergeCell ref="AL21:AN21"/>
    <mergeCell ref="AO21:AP21"/>
    <mergeCell ref="Y5:AA5"/>
    <mergeCell ref="T6:V6"/>
    <mergeCell ref="W6:X6"/>
    <mergeCell ref="Y6:Z6"/>
    <mergeCell ref="AA6:AA7"/>
    <mergeCell ref="T52:V52"/>
    <mergeCell ref="T54:AA55"/>
    <mergeCell ref="Y58:AA58"/>
    <mergeCell ref="T59:V59"/>
    <mergeCell ref="K277:M277"/>
    <mergeCell ref="K235:M235"/>
    <mergeCell ref="K276:M276"/>
    <mergeCell ref="K64:R65"/>
    <mergeCell ref="P68:R68"/>
    <mergeCell ref="K69:M69"/>
    <mergeCell ref="N69:O69"/>
    <mergeCell ref="P69:Q69"/>
    <mergeCell ref="R69:R70"/>
    <mergeCell ref="R242:R243"/>
    <mergeCell ref="K207:M207"/>
    <mergeCell ref="K203:M203"/>
    <mergeCell ref="K206:M206"/>
    <mergeCell ref="K209:R210"/>
    <mergeCell ref="P213:R213"/>
    <mergeCell ref="K214:M214"/>
    <mergeCell ref="N214:O214"/>
    <mergeCell ref="P214:Q214"/>
    <mergeCell ref="K181:R182"/>
    <mergeCell ref="P185:R185"/>
    <mergeCell ref="K186:M186"/>
    <mergeCell ref="N186:O186"/>
    <mergeCell ref="P186:Q186"/>
    <mergeCell ref="K272:M272"/>
    <mergeCell ref="K1:R2"/>
    <mergeCell ref="P5:R5"/>
    <mergeCell ref="K6:M6"/>
    <mergeCell ref="N6:O6"/>
    <mergeCell ref="P6:Q6"/>
    <mergeCell ref="R6:R7"/>
    <mergeCell ref="B1:I2"/>
    <mergeCell ref="B6:D6"/>
    <mergeCell ref="E6:F6"/>
    <mergeCell ref="I6:I7"/>
    <mergeCell ref="G6:H6"/>
    <mergeCell ref="G5:I5"/>
    <mergeCell ref="H3:I4"/>
    <mergeCell ref="B201:D201"/>
    <mergeCell ref="E201:F201"/>
    <mergeCell ref="G201:H201"/>
    <mergeCell ref="I201:I202"/>
    <mergeCell ref="G152:H152"/>
    <mergeCell ref="I152:I153"/>
    <mergeCell ref="B196:I197"/>
    <mergeCell ref="G200:I200"/>
    <mergeCell ref="B64:I65"/>
    <mergeCell ref="G68:I68"/>
    <mergeCell ref="B69:D69"/>
    <mergeCell ref="E69:F69"/>
    <mergeCell ref="G69:H69"/>
    <mergeCell ref="I69:I70"/>
    <mergeCell ref="G151:I151"/>
    <mergeCell ref="B152:D152"/>
    <mergeCell ref="E152:F152"/>
    <mergeCell ref="B147:I148"/>
    <mergeCell ref="B111:I112"/>
    <mergeCell ref="G115:I115"/>
    <mergeCell ref="B116:D116"/>
    <mergeCell ref="E116:F116"/>
    <mergeCell ref="G116:H116"/>
    <mergeCell ref="I116:I117"/>
    <mergeCell ref="P241:R241"/>
    <mergeCell ref="R214:R215"/>
    <mergeCell ref="K242:M242"/>
    <mergeCell ref="N242:O242"/>
    <mergeCell ref="P242:Q242"/>
    <mergeCell ref="R186:R187"/>
    <mergeCell ref="K112:R113"/>
    <mergeCell ref="P116:R116"/>
    <mergeCell ref="K117:M117"/>
    <mergeCell ref="N117:O117"/>
    <mergeCell ref="P117:Q117"/>
    <mergeCell ref="R117:R118"/>
    <mergeCell ref="Q183:R184"/>
    <mergeCell ref="AA160:AA161"/>
    <mergeCell ref="T103:AA104"/>
    <mergeCell ref="Y107:AA107"/>
    <mergeCell ref="T108:V108"/>
    <mergeCell ref="W108:X108"/>
    <mergeCell ref="Y108:Z108"/>
    <mergeCell ref="AA108:AA109"/>
    <mergeCell ref="Z157:AA158"/>
    <mergeCell ref="K237:R238"/>
    <mergeCell ref="Y251:AA251"/>
    <mergeCell ref="T252:V252"/>
    <mergeCell ref="W252:X252"/>
    <mergeCell ref="Y252:Z252"/>
    <mergeCell ref="AA252:AA253"/>
    <mergeCell ref="T314:V314"/>
    <mergeCell ref="AC111:AJ112"/>
    <mergeCell ref="AH115:AJ115"/>
    <mergeCell ref="T146:V146"/>
    <mergeCell ref="T201:V201"/>
    <mergeCell ref="T203:AA204"/>
    <mergeCell ref="Y207:AA207"/>
    <mergeCell ref="Y208:Z208"/>
    <mergeCell ref="AA208:AA209"/>
    <mergeCell ref="T155:AA156"/>
    <mergeCell ref="Y159:AA159"/>
    <mergeCell ref="T160:V160"/>
    <mergeCell ref="AC168:AE168"/>
    <mergeCell ref="T247:AA248"/>
    <mergeCell ref="T208:V208"/>
    <mergeCell ref="W208:X208"/>
    <mergeCell ref="AI178:AJ179"/>
    <mergeCell ref="W160:X160"/>
    <mergeCell ref="Y160:Z160"/>
    <mergeCell ref="AU1:BB2"/>
    <mergeCell ref="AZ5:BB5"/>
    <mergeCell ref="AU6:AW6"/>
    <mergeCell ref="AX6:AY6"/>
    <mergeCell ref="AZ6:BA6"/>
    <mergeCell ref="BB6:BB7"/>
    <mergeCell ref="AU84:AW84"/>
    <mergeCell ref="T245:V245"/>
    <mergeCell ref="AC1:AJ2"/>
    <mergeCell ref="AH5:AJ5"/>
    <mergeCell ref="AC6:AE6"/>
    <mergeCell ref="AC57:AJ58"/>
    <mergeCell ref="AH61:AJ61"/>
    <mergeCell ref="AJ6:AJ7"/>
    <mergeCell ref="AF6:AG6"/>
    <mergeCell ref="AC116:AE116"/>
    <mergeCell ref="AF116:AG116"/>
    <mergeCell ref="AH116:AI116"/>
    <mergeCell ref="AJ116:AJ117"/>
    <mergeCell ref="AC109:AE109"/>
    <mergeCell ref="AC62:AE62"/>
    <mergeCell ref="AF62:AG62"/>
    <mergeCell ref="AH6:AI6"/>
    <mergeCell ref="AC55:AE55"/>
    <mergeCell ref="AZ156:BA156"/>
    <mergeCell ref="BB156:BB157"/>
    <mergeCell ref="AL104:AS105"/>
    <mergeCell ref="AQ108:AS108"/>
    <mergeCell ref="AL109:AN109"/>
    <mergeCell ref="AO109:AP109"/>
    <mergeCell ref="AQ109:AR109"/>
    <mergeCell ref="AS109:AS110"/>
    <mergeCell ref="AZ155:BB155"/>
    <mergeCell ref="AU156:AW156"/>
    <mergeCell ref="AX156:AY156"/>
    <mergeCell ref="AZ326:BB326"/>
    <mergeCell ref="AU327:AW327"/>
    <mergeCell ref="AX327:AY327"/>
    <mergeCell ref="AZ327:BA327"/>
    <mergeCell ref="BB327:BB328"/>
    <mergeCell ref="AU340:BB341"/>
    <mergeCell ref="AZ344:BB344"/>
    <mergeCell ref="AU345:AW345"/>
    <mergeCell ref="AX345:AY345"/>
    <mergeCell ref="AZ345:BA345"/>
    <mergeCell ref="BB345:BB346"/>
    <mergeCell ref="AU320:AW320"/>
    <mergeCell ref="AU322:BB323"/>
    <mergeCell ref="BD1:BK2"/>
    <mergeCell ref="BI5:BK5"/>
    <mergeCell ref="BD6:BF6"/>
    <mergeCell ref="BG6:BH6"/>
    <mergeCell ref="BI6:BJ6"/>
    <mergeCell ref="BK6:BK7"/>
    <mergeCell ref="BD59:BF59"/>
    <mergeCell ref="BD80:BF80"/>
    <mergeCell ref="BI87:BK87"/>
    <mergeCell ref="BD83:BK84"/>
    <mergeCell ref="BD182:BF182"/>
    <mergeCell ref="BD246:BK247"/>
    <mergeCell ref="BD244:BF244"/>
    <mergeCell ref="BD196:BK197"/>
    <mergeCell ref="BI200:BK200"/>
    <mergeCell ref="BD88:BF88"/>
    <mergeCell ref="BG88:BH88"/>
    <mergeCell ref="BI88:BJ88"/>
    <mergeCell ref="BK88:BK89"/>
    <mergeCell ref="BD134:BF134"/>
    <mergeCell ref="BG201:BH201"/>
    <mergeCell ref="BI201:BJ201"/>
    <mergeCell ref="BK201:BK202"/>
    <mergeCell ref="BD136:BK137"/>
    <mergeCell ref="BI140:BK140"/>
    <mergeCell ref="BD141:BF141"/>
    <mergeCell ref="BG141:BH141"/>
    <mergeCell ref="BI141:BJ141"/>
    <mergeCell ref="BK141:BK142"/>
    <mergeCell ref="BD201:BF201"/>
    <mergeCell ref="BD381:BF381"/>
    <mergeCell ref="BI250:BK250"/>
    <mergeCell ref="BD251:BF251"/>
    <mergeCell ref="BG251:BH251"/>
    <mergeCell ref="BI251:BJ251"/>
    <mergeCell ref="BK251:BK252"/>
    <mergeCell ref="BD308:BF308"/>
    <mergeCell ref="BM342:BT343"/>
    <mergeCell ref="BR346:BT346"/>
    <mergeCell ref="BM347:BO347"/>
    <mergeCell ref="BP347:BQ347"/>
    <mergeCell ref="BR347:BS347"/>
    <mergeCell ref="BT347:BT348"/>
    <mergeCell ref="BD310:BK311"/>
    <mergeCell ref="BI314:BK314"/>
    <mergeCell ref="BD315:BF315"/>
    <mergeCell ref="BG315:BH315"/>
    <mergeCell ref="BI315:BJ315"/>
    <mergeCell ref="BK315:BK316"/>
    <mergeCell ref="BM406:BO406"/>
    <mergeCell ref="BV1:CC2"/>
    <mergeCell ref="CA5:CC5"/>
    <mergeCell ref="BV6:BX6"/>
    <mergeCell ref="BM274:BT275"/>
    <mergeCell ref="BR278:BT278"/>
    <mergeCell ref="BM279:BO279"/>
    <mergeCell ref="BP279:BQ279"/>
    <mergeCell ref="BR279:BS279"/>
    <mergeCell ref="BT279:BT280"/>
    <mergeCell ref="BY6:BZ6"/>
    <mergeCell ref="CA6:CB6"/>
    <mergeCell ref="CC6:CC7"/>
    <mergeCell ref="BV78:CC79"/>
    <mergeCell ref="CA82:CC82"/>
    <mergeCell ref="BV83:BX83"/>
    <mergeCell ref="BY83:BZ83"/>
    <mergeCell ref="CA83:CB83"/>
    <mergeCell ref="CC83:CC84"/>
    <mergeCell ref="BV127:BX127"/>
    <mergeCell ref="BM223:BT224"/>
    <mergeCell ref="BR227:BT227"/>
    <mergeCell ref="BM228:BO228"/>
    <mergeCell ref="BP228:BQ228"/>
    <mergeCell ref="BM206:BO206"/>
    <mergeCell ref="BM1:BT2"/>
    <mergeCell ref="BR5:BT5"/>
    <mergeCell ref="BM6:BO6"/>
    <mergeCell ref="BP6:BQ6"/>
    <mergeCell ref="BR6:BS6"/>
    <mergeCell ref="BT6:BT7"/>
    <mergeCell ref="BM58:BO58"/>
    <mergeCell ref="BM60:BT61"/>
    <mergeCell ref="BR64:BT64"/>
    <mergeCell ref="BM65:BO65"/>
    <mergeCell ref="BP65:BQ65"/>
    <mergeCell ref="BR65:BS65"/>
    <mergeCell ref="BT65:BT66"/>
    <mergeCell ref="BM140:BO140"/>
    <mergeCell ref="BM142:BT143"/>
    <mergeCell ref="BR146:BT146"/>
    <mergeCell ref="BM147:BO147"/>
    <mergeCell ref="BP147:BQ147"/>
    <mergeCell ref="BR147:BS147"/>
    <mergeCell ref="BT147:BT148"/>
    <mergeCell ref="CE1:CL2"/>
    <mergeCell ref="CJ5:CL5"/>
    <mergeCell ref="CE6:CG6"/>
    <mergeCell ref="CH6:CI6"/>
    <mergeCell ref="CJ6:CK6"/>
    <mergeCell ref="CL6:CL7"/>
    <mergeCell ref="CE181:CL182"/>
    <mergeCell ref="CK183:CL184"/>
    <mergeCell ref="CJ185:CL185"/>
    <mergeCell ref="CE306:CG306"/>
    <mergeCell ref="CH306:CI306"/>
    <mergeCell ref="CJ306:CK306"/>
    <mergeCell ref="CL306:CL307"/>
    <mergeCell ref="CE251:CL252"/>
    <mergeCell ref="CJ255:CL255"/>
    <mergeCell ref="CE256:CG256"/>
    <mergeCell ref="CH256:CI256"/>
    <mergeCell ref="CJ256:CK256"/>
    <mergeCell ref="CL256:CL257"/>
    <mergeCell ref="CE301:CL302"/>
    <mergeCell ref="CJ305:CL305"/>
    <mergeCell ref="CN275:CU276"/>
    <mergeCell ref="CT277:CU278"/>
    <mergeCell ref="CS279:CU279"/>
    <mergeCell ref="CN280:CP280"/>
    <mergeCell ref="CQ280:CR280"/>
    <mergeCell ref="CS280:CT280"/>
    <mergeCell ref="CU280:CU281"/>
    <mergeCell ref="CW161:DD162"/>
    <mergeCell ref="DC163:DD164"/>
    <mergeCell ref="DB165:DD165"/>
    <mergeCell ref="CT229:CU230"/>
    <mergeCell ref="CS231:CU231"/>
    <mergeCell ref="CN232:CP232"/>
    <mergeCell ref="CQ232:CR232"/>
    <mergeCell ref="CS232:CT232"/>
    <mergeCell ref="CU232:CU233"/>
    <mergeCell ref="CS167:CU167"/>
    <mergeCell ref="CN168:CP168"/>
    <mergeCell ref="CQ168:CR168"/>
    <mergeCell ref="CS168:CT168"/>
    <mergeCell ref="CU168:CU169"/>
    <mergeCell ref="CN227:CU228"/>
    <mergeCell ref="CW204:CY204"/>
    <mergeCell ref="CZ204:DA204"/>
    <mergeCell ref="CE186:CG186"/>
    <mergeCell ref="CH186:CI186"/>
    <mergeCell ref="CJ186:CK186"/>
    <mergeCell ref="CL186:CL187"/>
    <mergeCell ref="CW100:DD101"/>
    <mergeCell ref="DB104:DD104"/>
    <mergeCell ref="CW105:CY105"/>
    <mergeCell ref="CZ105:DA105"/>
    <mergeCell ref="DB105:DC105"/>
    <mergeCell ref="DD105:DD106"/>
    <mergeCell ref="CN100:CU101"/>
    <mergeCell ref="CT165:CU166"/>
    <mergeCell ref="CS104:CU104"/>
    <mergeCell ref="DF1:DM2"/>
    <mergeCell ref="DL3:DM4"/>
    <mergeCell ref="DK5:DM5"/>
    <mergeCell ref="DF6:DH6"/>
    <mergeCell ref="DI6:DJ6"/>
    <mergeCell ref="DK6:DL6"/>
    <mergeCell ref="DM6:DM7"/>
    <mergeCell ref="DF56:DH56"/>
    <mergeCell ref="DI56:DJ56"/>
    <mergeCell ref="DK56:DL56"/>
    <mergeCell ref="DM56:DM57"/>
    <mergeCell ref="DF51:DM52"/>
    <mergeCell ref="DK55:DM55"/>
    <mergeCell ref="DF175:DH175"/>
    <mergeCell ref="DI175:DJ175"/>
    <mergeCell ref="DK175:DL175"/>
    <mergeCell ref="DM175:DM176"/>
    <mergeCell ref="DF110:DM111"/>
    <mergeCell ref="DK114:DM114"/>
    <mergeCell ref="DF115:DH115"/>
    <mergeCell ref="DI115:DJ115"/>
    <mergeCell ref="DK115:DL115"/>
    <mergeCell ref="DM115:DM116"/>
    <mergeCell ref="DF170:DM171"/>
    <mergeCell ref="DL172:DM173"/>
    <mergeCell ref="DK174:DM174"/>
    <mergeCell ref="DK219:DM219"/>
    <mergeCell ref="DF220:DH220"/>
    <mergeCell ref="DI220:DJ220"/>
    <mergeCell ref="DK220:DL220"/>
    <mergeCell ref="DM220:DM221"/>
    <mergeCell ref="DF215:DM216"/>
    <mergeCell ref="DF249:DM250"/>
    <mergeCell ref="DK253:DM253"/>
    <mergeCell ref="DF254:DH254"/>
    <mergeCell ref="DI254:DJ254"/>
    <mergeCell ref="DK254:DL254"/>
    <mergeCell ref="DM254:DM255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FE7B-FCF3-4BF6-AA33-89E83E5F87DB}">
  <dimension ref="A1:O16"/>
  <sheetViews>
    <sheetView workbookViewId="0">
      <selection activeCell="E18" sqref="E18"/>
    </sheetView>
  </sheetViews>
  <sheetFormatPr defaultRowHeight="15.75" x14ac:dyDescent="0.25"/>
  <cols>
    <col min="1" max="1" width="10" style="4" customWidth="1"/>
    <col min="2" max="4" width="9.140625" style="4"/>
    <col min="5" max="6" width="13.5703125" style="4" customWidth="1"/>
    <col min="7" max="8" width="6.42578125" style="72" customWidth="1"/>
    <col min="9" max="12" width="9.140625" style="4"/>
    <col min="13" max="14" width="13.5703125" style="4" customWidth="1"/>
    <col min="15" max="16384" width="9.140625" style="4"/>
  </cols>
  <sheetData>
    <row r="1" spans="1:15" ht="16.5" thickBot="1" x14ac:dyDescent="0.3"/>
    <row r="2" spans="1:15" x14ac:dyDescent="0.25">
      <c r="A2" s="79">
        <v>46240</v>
      </c>
      <c r="B2" s="80" t="s">
        <v>75</v>
      </c>
      <c r="C2" s="80"/>
      <c r="D2" s="80"/>
      <c r="E2" s="80"/>
      <c r="F2" s="80">
        <v>409.69920000000002</v>
      </c>
      <c r="G2" s="81"/>
      <c r="H2" s="89"/>
      <c r="I2" s="79">
        <v>46240</v>
      </c>
      <c r="J2" s="80" t="s">
        <v>81</v>
      </c>
      <c r="K2" s="80"/>
      <c r="L2" s="80"/>
      <c r="M2" s="80"/>
      <c r="N2" s="80">
        <v>28.822900000000001</v>
      </c>
      <c r="O2" s="81"/>
    </row>
    <row r="3" spans="1:15" x14ac:dyDescent="0.25">
      <c r="A3" s="82"/>
      <c r="B3" s="77" t="s">
        <v>76</v>
      </c>
      <c r="C3" s="77"/>
      <c r="D3" s="77"/>
      <c r="E3" s="77">
        <v>218.18430000000001</v>
      </c>
      <c r="F3" s="77"/>
      <c r="G3" s="83"/>
      <c r="H3" s="89"/>
      <c r="I3" s="82"/>
      <c r="J3" s="77" t="s">
        <v>76</v>
      </c>
      <c r="K3" s="77"/>
      <c r="L3" s="77"/>
      <c r="M3" s="77">
        <v>14.7852</v>
      </c>
      <c r="N3" s="77"/>
      <c r="O3" s="83"/>
    </row>
    <row r="4" spans="1:15" x14ac:dyDescent="0.25">
      <c r="A4" s="82"/>
      <c r="B4" s="77" t="s">
        <v>77</v>
      </c>
      <c r="C4" s="77"/>
      <c r="D4" s="77"/>
      <c r="E4" s="75">
        <v>73.069000000000003</v>
      </c>
      <c r="F4" s="84">
        <f>SUM(E3:E4)</f>
        <v>291.25330000000002</v>
      </c>
      <c r="G4" s="85">
        <f>SUM(F4/F2)</f>
        <v>0.71089545695964262</v>
      </c>
      <c r="H4" s="90"/>
      <c r="I4" s="82"/>
      <c r="J4" s="77" t="s">
        <v>77</v>
      </c>
      <c r="K4" s="77"/>
      <c r="L4" s="77"/>
      <c r="M4" s="75">
        <v>3.3692000000000002</v>
      </c>
      <c r="N4" s="84">
        <f>SUM(M3:M4)</f>
        <v>18.154399999999999</v>
      </c>
      <c r="O4" s="85">
        <f>SUM(N4/N2)</f>
        <v>0.6298602847041761</v>
      </c>
    </row>
    <row r="5" spans="1:15" x14ac:dyDescent="0.25">
      <c r="A5" s="82"/>
      <c r="B5" s="77" t="s">
        <v>78</v>
      </c>
      <c r="C5" s="77"/>
      <c r="D5" s="77"/>
      <c r="E5" s="77"/>
      <c r="F5" s="73">
        <v>10.428000000000001</v>
      </c>
      <c r="G5" s="83"/>
      <c r="H5" s="89"/>
      <c r="I5" s="82"/>
      <c r="J5" s="77" t="s">
        <v>82</v>
      </c>
      <c r="K5" s="77"/>
      <c r="L5" s="77"/>
      <c r="M5" s="77"/>
      <c r="N5" s="73">
        <v>0.71519999999999995</v>
      </c>
      <c r="O5" s="83"/>
    </row>
    <row r="6" spans="1:15" x14ac:dyDescent="0.25">
      <c r="A6" s="82"/>
      <c r="B6" s="77"/>
      <c r="C6" s="77"/>
      <c r="D6" s="77"/>
      <c r="E6" s="77"/>
      <c r="F6" s="84">
        <f>SUM(F4:F5)</f>
        <v>301.68130000000002</v>
      </c>
      <c r="G6" s="83"/>
      <c r="H6" s="89"/>
      <c r="I6" s="82"/>
      <c r="J6" s="77"/>
      <c r="K6" s="77"/>
      <c r="L6" s="77"/>
      <c r="M6" s="77"/>
      <c r="N6" s="84">
        <f>SUM(N4:N5)</f>
        <v>18.869599999999998</v>
      </c>
      <c r="O6" s="83"/>
    </row>
    <row r="7" spans="1:15" x14ac:dyDescent="0.25">
      <c r="A7" s="82"/>
      <c r="B7" s="77" t="s">
        <v>79</v>
      </c>
      <c r="C7" s="77"/>
      <c r="D7" s="77"/>
      <c r="E7" s="77"/>
      <c r="F7" s="77">
        <v>285.17169999999999</v>
      </c>
      <c r="G7" s="83"/>
      <c r="H7" s="89"/>
      <c r="I7" s="82"/>
      <c r="J7" s="77" t="s">
        <v>84</v>
      </c>
      <c r="K7" s="77"/>
      <c r="L7" s="77"/>
      <c r="M7" s="77"/>
      <c r="N7" s="91">
        <v>19.374400000000001</v>
      </c>
      <c r="O7" s="83"/>
    </row>
    <row r="8" spans="1:15" ht="16.5" thickBot="1" x14ac:dyDescent="0.3">
      <c r="A8" s="82"/>
      <c r="B8" s="249" t="s">
        <v>80</v>
      </c>
      <c r="C8" s="249"/>
      <c r="D8" s="249"/>
      <c r="E8" s="249"/>
      <c r="F8" s="74">
        <f>SUM(F6-F7)</f>
        <v>16.509600000000034</v>
      </c>
      <c r="G8" s="83"/>
      <c r="H8" s="89"/>
      <c r="I8" s="82"/>
      <c r="J8" s="92" t="s">
        <v>85</v>
      </c>
      <c r="K8" s="92"/>
      <c r="L8" s="92"/>
      <c r="M8" s="92"/>
      <c r="N8" s="92">
        <v>24.3431</v>
      </c>
      <c r="O8" s="83"/>
    </row>
    <row r="9" spans="1:15" ht="16.5" thickTop="1" x14ac:dyDescent="0.25">
      <c r="A9" s="82"/>
      <c r="B9" s="77"/>
      <c r="C9" s="77"/>
      <c r="D9" s="77"/>
      <c r="E9" s="77"/>
      <c r="F9" s="77"/>
      <c r="G9" s="83"/>
      <c r="H9" s="89"/>
      <c r="I9" s="82"/>
      <c r="J9" s="77" t="s">
        <v>87</v>
      </c>
      <c r="K9" s="77"/>
      <c r="L9" s="77"/>
      <c r="M9" s="77">
        <v>24.657800000000002</v>
      </c>
      <c r="N9" s="84"/>
      <c r="O9" s="83"/>
    </row>
    <row r="10" spans="1:15" x14ac:dyDescent="0.25">
      <c r="A10" s="82"/>
      <c r="B10" s="77"/>
      <c r="C10" s="77"/>
      <c r="D10" s="77"/>
      <c r="E10" s="77"/>
      <c r="F10" s="77"/>
      <c r="G10" s="83"/>
      <c r="H10" s="89"/>
      <c r="I10" s="82"/>
      <c r="J10" s="77" t="s">
        <v>88</v>
      </c>
      <c r="K10" s="77"/>
      <c r="L10" s="77"/>
      <c r="M10" s="75">
        <v>0.12</v>
      </c>
      <c r="N10" s="84">
        <f>SUM(M9:M10)</f>
        <v>24.777800000000003</v>
      </c>
      <c r="O10" s="83"/>
    </row>
    <row r="11" spans="1:15" x14ac:dyDescent="0.25">
      <c r="A11" s="82"/>
      <c r="B11" s="77"/>
      <c r="C11" s="77"/>
      <c r="D11" s="77"/>
      <c r="E11" s="77"/>
      <c r="F11" s="77"/>
      <c r="G11" s="83"/>
      <c r="H11" s="89"/>
      <c r="I11" s="82"/>
      <c r="J11" s="77" t="s">
        <v>86</v>
      </c>
      <c r="K11" s="77"/>
      <c r="L11" s="77"/>
      <c r="M11" s="77"/>
      <c r="N11" s="75">
        <v>0.224</v>
      </c>
      <c r="O11" s="83"/>
    </row>
    <row r="12" spans="1:15" x14ac:dyDescent="0.25">
      <c r="A12" s="82"/>
      <c r="B12" s="77"/>
      <c r="C12" s="77"/>
      <c r="D12" s="77"/>
      <c r="E12" s="77"/>
      <c r="F12" s="77"/>
      <c r="G12" s="83"/>
      <c r="H12" s="89"/>
      <c r="I12" s="82"/>
      <c r="J12" s="250" t="s">
        <v>89</v>
      </c>
      <c r="K12" s="250"/>
      <c r="L12" s="250"/>
      <c r="M12" s="250"/>
      <c r="N12" s="76">
        <f>SUM(N10:N11,N6:N7)</f>
        <v>63.245800000000003</v>
      </c>
      <c r="O12" s="83"/>
    </row>
    <row r="13" spans="1:15" ht="16.5" thickBot="1" x14ac:dyDescent="0.3">
      <c r="A13" s="86"/>
      <c r="B13" s="87"/>
      <c r="C13" s="87"/>
      <c r="D13" s="87"/>
      <c r="E13" s="87"/>
      <c r="F13" s="87"/>
      <c r="G13" s="88"/>
      <c r="H13" s="89"/>
      <c r="I13" s="82"/>
      <c r="J13" s="77" t="s">
        <v>83</v>
      </c>
      <c r="K13" s="77"/>
      <c r="L13" s="77"/>
      <c r="M13" s="77"/>
      <c r="N13" s="73">
        <v>63.5627</v>
      </c>
      <c r="O13" s="83"/>
    </row>
    <row r="14" spans="1:15" ht="16.5" thickBot="1" x14ac:dyDescent="0.3">
      <c r="I14" s="82"/>
      <c r="J14" s="249" t="s">
        <v>90</v>
      </c>
      <c r="K14" s="249"/>
      <c r="L14" s="249"/>
      <c r="M14" s="249"/>
      <c r="N14" s="78">
        <f>SUM(N12-N13)</f>
        <v>-0.31689999999999685</v>
      </c>
      <c r="O14" s="83"/>
    </row>
    <row r="15" spans="1:15" ht="16.5" thickTop="1" x14ac:dyDescent="0.25">
      <c r="I15" s="82"/>
      <c r="J15" s="77"/>
      <c r="K15" s="77"/>
      <c r="L15" s="77"/>
      <c r="M15" s="77"/>
      <c r="N15" s="77"/>
      <c r="O15" s="93"/>
    </row>
    <row r="16" spans="1:15" ht="16.5" thickBot="1" x14ac:dyDescent="0.3">
      <c r="I16" s="86"/>
      <c r="J16" s="87"/>
      <c r="K16" s="87"/>
      <c r="L16" s="87"/>
      <c r="M16" s="87"/>
      <c r="N16" s="87"/>
      <c r="O16" s="94"/>
    </row>
  </sheetData>
  <mergeCells count="3">
    <mergeCell ref="B8:E8"/>
    <mergeCell ref="J14:M14"/>
    <mergeCell ref="J12:M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5FA5-B700-4E06-ADD9-338ED65C2711}">
  <dimension ref="B2:N19"/>
  <sheetViews>
    <sheetView workbookViewId="0">
      <selection activeCell="F17" sqref="F17"/>
    </sheetView>
  </sheetViews>
  <sheetFormatPr defaultRowHeight="15" x14ac:dyDescent="0.25"/>
  <cols>
    <col min="6" max="6" width="9.7109375" bestFit="1" customWidth="1"/>
    <col min="13" max="13" width="10.42578125" customWidth="1"/>
  </cols>
  <sheetData>
    <row r="2" spans="2:14" ht="15.75" x14ac:dyDescent="0.25">
      <c r="B2" s="226" t="s">
        <v>13</v>
      </c>
      <c r="C2" s="227"/>
      <c r="D2" s="228"/>
      <c r="E2" s="227" t="s">
        <v>12</v>
      </c>
      <c r="F2" s="227"/>
      <c r="G2" s="251" t="s">
        <v>11</v>
      </c>
      <c r="I2" s="226" t="s">
        <v>13</v>
      </c>
      <c r="J2" s="227"/>
      <c r="K2" s="228"/>
      <c r="L2" s="227" t="s">
        <v>12</v>
      </c>
      <c r="M2" s="227"/>
      <c r="N2" s="251" t="s">
        <v>11</v>
      </c>
    </row>
    <row r="3" spans="2:14" ht="15.75" x14ac:dyDescent="0.25">
      <c r="B3" s="24" t="s">
        <v>10</v>
      </c>
      <c r="C3" s="23" t="s">
        <v>9</v>
      </c>
      <c r="D3" s="23" t="s">
        <v>8</v>
      </c>
      <c r="E3" s="22" t="s">
        <v>7</v>
      </c>
      <c r="F3" s="21" t="s">
        <v>6</v>
      </c>
      <c r="G3" s="251"/>
      <c r="I3" s="24" t="s">
        <v>10</v>
      </c>
      <c r="J3" s="23" t="s">
        <v>9</v>
      </c>
      <c r="K3" s="23" t="s">
        <v>8</v>
      </c>
      <c r="L3" s="22" t="s">
        <v>7</v>
      </c>
      <c r="M3" s="21" t="s">
        <v>6</v>
      </c>
      <c r="N3" s="251"/>
    </row>
    <row r="4" spans="2:14" ht="15.75" x14ac:dyDescent="0.25">
      <c r="B4" s="61">
        <v>5</v>
      </c>
      <c r="C4" s="61">
        <v>7</v>
      </c>
      <c r="D4" s="61">
        <v>500</v>
      </c>
      <c r="E4" s="61">
        <v>4</v>
      </c>
      <c r="F4" s="63">
        <f t="shared" ref="F4:F12" si="0">B4*C4*D4*E4/1000000</f>
        <v>7.0000000000000007E-2</v>
      </c>
      <c r="G4" s="61"/>
    </row>
    <row r="5" spans="2:14" ht="15.75" x14ac:dyDescent="0.25">
      <c r="B5" s="61">
        <v>5</v>
      </c>
      <c r="C5" s="61">
        <v>7</v>
      </c>
      <c r="D5" s="61">
        <v>400</v>
      </c>
      <c r="E5" s="61">
        <v>48</v>
      </c>
      <c r="F5" s="63">
        <f t="shared" si="0"/>
        <v>0.67200000000000004</v>
      </c>
      <c r="G5" s="70"/>
    </row>
    <row r="6" spans="2:14" ht="15.75" x14ac:dyDescent="0.25">
      <c r="B6" s="61">
        <v>5</v>
      </c>
      <c r="C6" s="61">
        <v>7</v>
      </c>
      <c r="D6" s="61">
        <v>300</v>
      </c>
      <c r="E6" s="61">
        <v>8</v>
      </c>
      <c r="F6" s="63">
        <f t="shared" si="0"/>
        <v>8.4000000000000005E-2</v>
      </c>
      <c r="G6" s="61"/>
    </row>
    <row r="7" spans="2:14" ht="15.75" x14ac:dyDescent="0.25">
      <c r="B7" s="61">
        <v>4</v>
      </c>
      <c r="C7" s="61">
        <v>6</v>
      </c>
      <c r="D7" s="61">
        <v>500</v>
      </c>
      <c r="E7" s="61">
        <v>18</v>
      </c>
      <c r="F7" s="63">
        <f t="shared" si="0"/>
        <v>0.216</v>
      </c>
      <c r="G7" s="61"/>
    </row>
    <row r="8" spans="2:14" ht="15.75" x14ac:dyDescent="0.25">
      <c r="B8" s="61">
        <v>4</v>
      </c>
      <c r="C8" s="61">
        <v>6</v>
      </c>
      <c r="D8" s="61">
        <v>400</v>
      </c>
      <c r="E8" s="61">
        <v>60</v>
      </c>
      <c r="F8" s="63">
        <f t="shared" si="0"/>
        <v>0.57599999999999996</v>
      </c>
      <c r="G8" s="61"/>
    </row>
    <row r="9" spans="2:14" ht="16.5" thickBot="1" x14ac:dyDescent="0.3">
      <c r="B9" s="61">
        <v>4</v>
      </c>
      <c r="C9" s="61">
        <v>6</v>
      </c>
      <c r="D9" s="61">
        <v>300</v>
      </c>
      <c r="E9" s="61">
        <v>30</v>
      </c>
      <c r="F9" s="63">
        <f t="shared" si="0"/>
        <v>0.216</v>
      </c>
      <c r="G9" s="61"/>
      <c r="I9" s="237"/>
      <c r="J9" s="237"/>
      <c r="K9" s="238"/>
      <c r="L9" s="98">
        <f>SUM(E14:E18)</f>
        <v>2255</v>
      </c>
      <c r="M9" s="48">
        <f>SUM(F14:F18)</f>
        <v>15.513800000000002</v>
      </c>
      <c r="N9" s="104"/>
    </row>
    <row r="10" spans="2:14" ht="16.5" thickTop="1" x14ac:dyDescent="0.25">
      <c r="B10" s="61">
        <v>3</v>
      </c>
      <c r="C10" s="61">
        <v>5</v>
      </c>
      <c r="D10" s="61">
        <v>400</v>
      </c>
      <c r="E10" s="61">
        <v>110</v>
      </c>
      <c r="F10" s="63">
        <f t="shared" si="0"/>
        <v>0.66</v>
      </c>
      <c r="G10" s="61"/>
    </row>
    <row r="11" spans="2:14" ht="15.75" x14ac:dyDescent="0.25">
      <c r="B11" s="61">
        <v>3</v>
      </c>
      <c r="C11" s="61">
        <v>5</v>
      </c>
      <c r="D11" s="61">
        <v>300</v>
      </c>
      <c r="E11" s="61">
        <v>30</v>
      </c>
      <c r="F11" s="63">
        <f t="shared" si="0"/>
        <v>0.13500000000000001</v>
      </c>
      <c r="G11" s="61"/>
    </row>
    <row r="12" spans="2:14" ht="15.75" x14ac:dyDescent="0.25">
      <c r="B12" s="61">
        <v>2</v>
      </c>
      <c r="C12" s="61">
        <v>3</v>
      </c>
      <c r="D12" s="61">
        <v>400</v>
      </c>
      <c r="E12" s="61">
        <v>150</v>
      </c>
      <c r="F12" s="63">
        <f t="shared" si="0"/>
        <v>0.36</v>
      </c>
      <c r="G12" s="70"/>
    </row>
    <row r="13" spans="2:14" ht="15.75" x14ac:dyDescent="0.25">
      <c r="E13" s="64">
        <f>SUM(E4:E12)</f>
        <v>458</v>
      </c>
      <c r="F13" s="67">
        <f>SUM(F4:F12)</f>
        <v>2.9889999999999994</v>
      </c>
      <c r="G13" s="70" t="s">
        <v>21</v>
      </c>
    </row>
    <row r="14" spans="2:14" ht="15.75" x14ac:dyDescent="0.25">
      <c r="B14" s="61">
        <v>5</v>
      </c>
      <c r="C14" s="61">
        <v>7</v>
      </c>
      <c r="D14" s="61">
        <v>400</v>
      </c>
      <c r="E14" s="61">
        <v>532</v>
      </c>
      <c r="F14" s="63">
        <f>B14*C14*D14*E14/1000000</f>
        <v>7.4480000000000004</v>
      </c>
      <c r="G14" s="61"/>
    </row>
    <row r="15" spans="2:14" ht="15.75" x14ac:dyDescent="0.25">
      <c r="B15" s="61">
        <v>4</v>
      </c>
      <c r="C15" s="61">
        <v>6</v>
      </c>
      <c r="D15" s="61">
        <v>400</v>
      </c>
      <c r="E15" s="61">
        <v>198</v>
      </c>
      <c r="F15" s="63">
        <f>B15*C15*D15*E15/1000000</f>
        <v>1.9008</v>
      </c>
      <c r="G15" s="61"/>
    </row>
    <row r="16" spans="2:14" ht="15.75" x14ac:dyDescent="0.25">
      <c r="B16" s="61">
        <v>3</v>
      </c>
      <c r="C16" s="61">
        <v>5</v>
      </c>
      <c r="D16" s="61">
        <v>400</v>
      </c>
      <c r="E16" s="61">
        <v>690</v>
      </c>
      <c r="F16" s="63">
        <f>B16*C16*D16*E16/1000000</f>
        <v>4.1399999999999997</v>
      </c>
      <c r="G16" s="61"/>
    </row>
    <row r="17" spans="2:7" ht="15.75" x14ac:dyDescent="0.25">
      <c r="B17" s="61">
        <v>3</v>
      </c>
      <c r="C17" s="61">
        <v>5</v>
      </c>
      <c r="D17" s="61">
        <v>300</v>
      </c>
      <c r="E17" s="61">
        <v>10</v>
      </c>
      <c r="F17" s="63">
        <f>B17*C17*D17*E17/1000000</f>
        <v>4.4999999999999998E-2</v>
      </c>
      <c r="G17" s="61"/>
    </row>
    <row r="18" spans="2:7" ht="15.75" x14ac:dyDescent="0.25">
      <c r="B18" s="61">
        <v>2</v>
      </c>
      <c r="C18" s="61">
        <v>3</v>
      </c>
      <c r="D18" s="61">
        <v>400</v>
      </c>
      <c r="E18" s="61">
        <v>825</v>
      </c>
      <c r="F18" s="63">
        <f>B18*C18*D18*E18/1000000</f>
        <v>1.98</v>
      </c>
      <c r="G18" s="70"/>
    </row>
    <row r="19" spans="2:7" ht="15.75" x14ac:dyDescent="0.25">
      <c r="E19" s="64">
        <f>SUM(E14:E18)</f>
        <v>2255</v>
      </c>
      <c r="F19" s="67">
        <f>SUM(F14:F18)</f>
        <v>15.513800000000002</v>
      </c>
      <c r="G19" s="70" t="s">
        <v>23</v>
      </c>
    </row>
  </sheetData>
  <sortState xmlns:xlrd2="http://schemas.microsoft.com/office/spreadsheetml/2017/richdata2" ref="I4:M8">
    <sortCondition descending="1" ref="I4:I8"/>
    <sortCondition descending="1" ref="J4:J8"/>
    <sortCondition descending="1" ref="K4:K8"/>
    <sortCondition descending="1" ref="L4:L8"/>
  </sortState>
  <mergeCells count="7">
    <mergeCell ref="N2:N3"/>
    <mergeCell ref="I9:K9"/>
    <mergeCell ref="B2:D2"/>
    <mergeCell ref="E2:F2"/>
    <mergeCell ref="G2:G3"/>
    <mergeCell ref="I2:K2"/>
    <mergeCell ref="L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B0A1-D811-4E4D-A4BA-C2A055B2A2DB}">
  <dimension ref="B1:N104"/>
  <sheetViews>
    <sheetView topLeftCell="A88" workbookViewId="0">
      <selection activeCell="I102" sqref="I102"/>
    </sheetView>
  </sheetViews>
  <sheetFormatPr defaultRowHeight="15.75" x14ac:dyDescent="0.25"/>
  <cols>
    <col min="1" max="2" width="9.140625" style="181"/>
    <col min="3" max="4" width="9.140625" style="182"/>
    <col min="5" max="5" width="10.7109375" style="182" customWidth="1"/>
    <col min="6" max="6" width="11.28515625" style="182" customWidth="1"/>
    <col min="7" max="7" width="11.5703125" style="182" customWidth="1"/>
    <col min="8" max="8" width="12.7109375" style="181" customWidth="1"/>
    <col min="9" max="9" width="12.28515625" style="181" customWidth="1"/>
    <col min="10" max="10" width="11.5703125" style="181" customWidth="1"/>
    <col min="11" max="11" width="12.42578125" style="181" customWidth="1"/>
    <col min="12" max="12" width="11.5703125" style="181" customWidth="1"/>
    <col min="13" max="13" width="10.7109375" style="181" customWidth="1"/>
    <col min="14" max="16384" width="9.140625" style="181"/>
  </cols>
  <sheetData>
    <row r="1" spans="2:14" x14ac:dyDescent="0.25">
      <c r="B1" s="254" t="s">
        <v>160</v>
      </c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</row>
    <row r="2" spans="2:14" x14ac:dyDescent="0.25"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</row>
    <row r="3" spans="2:14" ht="15.75" customHeight="1" x14ac:dyDescent="0.25">
      <c r="B3" s="257" t="s">
        <v>159</v>
      </c>
      <c r="C3" s="257" t="s">
        <v>161</v>
      </c>
      <c r="D3" s="256" t="s">
        <v>163</v>
      </c>
      <c r="E3" s="256"/>
      <c r="F3" s="256"/>
      <c r="G3" s="256"/>
      <c r="H3" s="261" t="s">
        <v>52</v>
      </c>
      <c r="I3" s="261"/>
      <c r="J3" s="262" t="s">
        <v>53</v>
      </c>
      <c r="K3" s="262"/>
      <c r="L3" s="256" t="s">
        <v>164</v>
      </c>
      <c r="M3" s="256"/>
      <c r="N3" s="257" t="s">
        <v>11</v>
      </c>
    </row>
    <row r="4" spans="2:14" x14ac:dyDescent="0.25">
      <c r="B4" s="257"/>
      <c r="C4" s="257"/>
      <c r="D4" s="258" t="s">
        <v>52</v>
      </c>
      <c r="E4" s="259"/>
      <c r="F4" s="259" t="s">
        <v>53</v>
      </c>
      <c r="G4" s="259"/>
      <c r="H4" s="201" t="s">
        <v>150</v>
      </c>
      <c r="I4" s="201" t="s">
        <v>162</v>
      </c>
      <c r="J4" s="206" t="s">
        <v>150</v>
      </c>
      <c r="K4" s="206" t="s">
        <v>162</v>
      </c>
      <c r="L4" s="260" t="s">
        <v>165</v>
      </c>
      <c r="M4" s="258"/>
      <c r="N4" s="257"/>
    </row>
    <row r="5" spans="2:14" x14ac:dyDescent="0.25">
      <c r="B5" s="257"/>
      <c r="C5" s="257"/>
      <c r="D5" s="191" t="s">
        <v>7</v>
      </c>
      <c r="E5" s="192" t="s">
        <v>6</v>
      </c>
      <c r="F5" s="192" t="s">
        <v>7</v>
      </c>
      <c r="G5" s="192" t="s">
        <v>6</v>
      </c>
      <c r="H5" s="201" t="s">
        <v>7</v>
      </c>
      <c r="I5" s="201" t="s">
        <v>6</v>
      </c>
      <c r="J5" s="206" t="s">
        <v>7</v>
      </c>
      <c r="K5" s="206" t="s">
        <v>6</v>
      </c>
      <c r="L5" s="192" t="s">
        <v>166</v>
      </c>
      <c r="M5" s="192" t="s">
        <v>21</v>
      </c>
      <c r="N5" s="257"/>
    </row>
    <row r="6" spans="2:14" x14ac:dyDescent="0.25">
      <c r="B6" s="183">
        <v>1</v>
      </c>
      <c r="C6" s="183">
        <v>1</v>
      </c>
      <c r="D6" s="183">
        <v>555</v>
      </c>
      <c r="E6" s="185">
        <v>11.118399999999999</v>
      </c>
      <c r="F6" s="184"/>
      <c r="G6" s="184"/>
      <c r="H6" s="202">
        <v>529</v>
      </c>
      <c r="I6" s="202">
        <v>846</v>
      </c>
      <c r="J6" s="207"/>
      <c r="K6" s="207"/>
      <c r="L6" s="185">
        <f>SUM(H6:I6)</f>
        <v>1375</v>
      </c>
      <c r="M6" s="184"/>
      <c r="N6" s="184"/>
    </row>
    <row r="7" spans="2:14" x14ac:dyDescent="0.25">
      <c r="B7" s="183"/>
      <c r="C7" s="183">
        <v>2</v>
      </c>
      <c r="D7" s="183">
        <v>419</v>
      </c>
      <c r="E7" s="185">
        <v>12.034599999999999</v>
      </c>
      <c r="F7" s="184"/>
      <c r="G7" s="184"/>
      <c r="H7" s="205">
        <v>5.4169</v>
      </c>
      <c r="I7" s="203">
        <v>28.742699999999999</v>
      </c>
      <c r="J7" s="207"/>
      <c r="K7" s="207"/>
      <c r="L7" s="189">
        <f>SUM(H7:I7)</f>
        <v>34.159599999999998</v>
      </c>
      <c r="M7" s="184"/>
      <c r="N7" s="184"/>
    </row>
    <row r="8" spans="2:14" x14ac:dyDescent="0.25">
      <c r="B8" s="183"/>
      <c r="C8" s="183">
        <v>3</v>
      </c>
      <c r="D8" s="183">
        <v>401</v>
      </c>
      <c r="E8" s="185">
        <v>11.006600000000001</v>
      </c>
      <c r="F8" s="184"/>
      <c r="G8" s="184"/>
      <c r="H8" s="201"/>
      <c r="I8" s="201"/>
      <c r="J8" s="207"/>
      <c r="K8" s="207"/>
      <c r="L8" s="189"/>
      <c r="M8" s="184"/>
      <c r="N8" s="184"/>
    </row>
    <row r="9" spans="2:14" x14ac:dyDescent="0.25">
      <c r="B9" s="252"/>
      <c r="C9" s="253"/>
      <c r="D9" s="186">
        <f>SUM(D6:D8)</f>
        <v>1375</v>
      </c>
      <c r="E9" s="187">
        <f>SUM(E6:E8)</f>
        <v>34.159599999999998</v>
      </c>
      <c r="F9" s="186">
        <f>SUM(F6:F8)</f>
        <v>0</v>
      </c>
      <c r="G9" s="187">
        <f>SUM(G6:G8)</f>
        <v>0</v>
      </c>
      <c r="H9" s="202">
        <f>SUM(H7:H8)</f>
        <v>5.4169</v>
      </c>
      <c r="I9" s="202">
        <f>SUM(I7:I8)</f>
        <v>28.742699999999999</v>
      </c>
      <c r="J9" s="208">
        <f t="shared" ref="J9:K9" si="0">SUM(J6:J8)</f>
        <v>0</v>
      </c>
      <c r="K9" s="209">
        <f t="shared" si="0"/>
        <v>0</v>
      </c>
      <c r="L9" s="190">
        <f>SUM(H9:I9)</f>
        <v>34.159599999999998</v>
      </c>
      <c r="M9" s="187">
        <f>SUM(M6:M8)</f>
        <v>0</v>
      </c>
      <c r="N9" s="188"/>
    </row>
    <row r="10" spans="2:14" x14ac:dyDescent="0.25">
      <c r="B10" s="183">
        <v>2</v>
      </c>
      <c r="C10" s="183">
        <v>1</v>
      </c>
      <c r="D10" s="183">
        <v>321</v>
      </c>
      <c r="E10" s="185">
        <v>11.7392</v>
      </c>
      <c r="F10" s="184"/>
      <c r="G10" s="184"/>
      <c r="H10" s="202">
        <v>1008</v>
      </c>
      <c r="I10" s="202">
        <v>803</v>
      </c>
      <c r="J10" s="207"/>
      <c r="K10" s="207"/>
      <c r="L10" s="185">
        <f>SUM(H10:I10)</f>
        <v>1811</v>
      </c>
      <c r="M10" s="184"/>
      <c r="N10" s="184"/>
    </row>
    <row r="11" spans="2:14" x14ac:dyDescent="0.25">
      <c r="B11" s="183"/>
      <c r="C11" s="183">
        <v>2</v>
      </c>
      <c r="D11" s="183">
        <v>545</v>
      </c>
      <c r="E11" s="185">
        <v>12.141500000000001</v>
      </c>
      <c r="F11" s="184"/>
      <c r="G11" s="184"/>
      <c r="H11" s="205">
        <v>7.6265000000000001</v>
      </c>
      <c r="I11" s="203">
        <v>28.2713</v>
      </c>
      <c r="J11" s="207"/>
      <c r="K11" s="207"/>
      <c r="L11" s="189">
        <f>SUM(H11:I11)</f>
        <v>35.897800000000004</v>
      </c>
      <c r="M11" s="184"/>
      <c r="N11" s="184"/>
    </row>
    <row r="12" spans="2:14" x14ac:dyDescent="0.25">
      <c r="B12" s="183"/>
      <c r="C12" s="183">
        <v>3</v>
      </c>
      <c r="D12" s="183">
        <v>945</v>
      </c>
      <c r="E12" s="185">
        <v>12.017099999999999</v>
      </c>
      <c r="F12" s="184"/>
      <c r="G12" s="184"/>
      <c r="H12" s="201"/>
      <c r="I12" s="201"/>
      <c r="J12" s="207"/>
      <c r="K12" s="207"/>
      <c r="L12" s="183"/>
      <c r="M12" s="184"/>
      <c r="N12" s="184"/>
    </row>
    <row r="13" spans="2:14" x14ac:dyDescent="0.25">
      <c r="B13" s="252"/>
      <c r="C13" s="253"/>
      <c r="D13" s="186">
        <f>SUM(D10:D12)</f>
        <v>1811</v>
      </c>
      <c r="E13" s="187">
        <f>SUM(E10:E12)</f>
        <v>35.897800000000004</v>
      </c>
      <c r="F13" s="186">
        <f>SUM(F10:F12)</f>
        <v>0</v>
      </c>
      <c r="G13" s="187">
        <f>SUM(G10:G12)</f>
        <v>0</v>
      </c>
      <c r="H13" s="202">
        <f>SUM(H11:H12)</f>
        <v>7.6265000000000001</v>
      </c>
      <c r="I13" s="202">
        <f>SUM(I11:I12)</f>
        <v>28.2713</v>
      </c>
      <c r="J13" s="208">
        <f t="shared" ref="J13" si="1">SUM(J10:J12)</f>
        <v>0</v>
      </c>
      <c r="K13" s="209">
        <f t="shared" ref="K13" si="2">SUM(K10:K12)</f>
        <v>0</v>
      </c>
      <c r="L13" s="190">
        <f>SUM(H13:I13)</f>
        <v>35.897800000000004</v>
      </c>
      <c r="M13" s="187">
        <f>SUM(M10:M12)</f>
        <v>0</v>
      </c>
      <c r="N13" s="188"/>
    </row>
    <row r="14" spans="2:14" x14ac:dyDescent="0.25">
      <c r="B14" s="183">
        <v>3</v>
      </c>
      <c r="C14" s="183">
        <v>1</v>
      </c>
      <c r="D14" s="183">
        <v>647</v>
      </c>
      <c r="E14" s="189">
        <v>12.692</v>
      </c>
      <c r="F14" s="184"/>
      <c r="G14" s="184"/>
      <c r="H14" s="202">
        <v>810</v>
      </c>
      <c r="I14" s="202">
        <v>991</v>
      </c>
      <c r="J14" s="207"/>
      <c r="K14" s="207"/>
      <c r="L14" s="185">
        <f>SUM(H14:I14)</f>
        <v>1801</v>
      </c>
      <c r="M14" s="184"/>
      <c r="N14" s="184"/>
    </row>
    <row r="15" spans="2:14" x14ac:dyDescent="0.25">
      <c r="B15" s="183"/>
      <c r="C15" s="183">
        <v>2</v>
      </c>
      <c r="D15" s="183">
        <v>793</v>
      </c>
      <c r="E15" s="189">
        <v>12.044</v>
      </c>
      <c r="F15" s="184"/>
      <c r="G15" s="184"/>
      <c r="H15" s="205">
        <v>3.5495999999999999</v>
      </c>
      <c r="I15" s="205">
        <v>33.805500000000002</v>
      </c>
      <c r="J15" s="207"/>
      <c r="K15" s="207"/>
      <c r="L15" s="189">
        <f>SUM(H15:I15)</f>
        <v>37.3551</v>
      </c>
      <c r="M15" s="184"/>
      <c r="N15" s="184"/>
    </row>
    <row r="16" spans="2:14" x14ac:dyDescent="0.25">
      <c r="B16" s="183"/>
      <c r="C16" s="183">
        <v>3</v>
      </c>
      <c r="D16" s="183">
        <v>361</v>
      </c>
      <c r="E16" s="189">
        <v>12.619</v>
      </c>
      <c r="F16" s="184"/>
      <c r="G16" s="184"/>
      <c r="H16" s="201"/>
      <c r="I16" s="201"/>
      <c r="J16" s="207"/>
      <c r="K16" s="207"/>
      <c r="L16" s="183"/>
      <c r="M16" s="184"/>
      <c r="N16" s="184"/>
    </row>
    <row r="17" spans="2:14" x14ac:dyDescent="0.25">
      <c r="B17" s="252"/>
      <c r="C17" s="253"/>
      <c r="D17" s="186">
        <f>SUM(D14:D16)</f>
        <v>1801</v>
      </c>
      <c r="E17" s="190">
        <f>SUM(E14:E16)</f>
        <v>37.355000000000004</v>
      </c>
      <c r="F17" s="186">
        <f>SUM(F14:F16)</f>
        <v>0</v>
      </c>
      <c r="G17" s="187">
        <f>SUM(G14:G16)</f>
        <v>0</v>
      </c>
      <c r="H17" s="202">
        <f>SUM(H15:H16)</f>
        <v>3.5495999999999999</v>
      </c>
      <c r="I17" s="202">
        <f>SUM(I15:I16)</f>
        <v>33.805500000000002</v>
      </c>
      <c r="J17" s="209">
        <f t="shared" ref="J17:K17" si="3">SUM(J15:J16)</f>
        <v>0</v>
      </c>
      <c r="K17" s="209">
        <f t="shared" si="3"/>
        <v>0</v>
      </c>
      <c r="L17" s="190">
        <f>SUM(H17:I17)</f>
        <v>37.3551</v>
      </c>
      <c r="M17" s="187">
        <f>SUM(M14:M16)</f>
        <v>0</v>
      </c>
      <c r="N17" s="188"/>
    </row>
    <row r="18" spans="2:14" x14ac:dyDescent="0.25">
      <c r="B18" s="183">
        <v>4</v>
      </c>
      <c r="C18" s="183">
        <v>1</v>
      </c>
      <c r="D18" s="183">
        <v>1530</v>
      </c>
      <c r="E18" s="189">
        <v>5.04</v>
      </c>
      <c r="F18" s="183">
        <v>145</v>
      </c>
      <c r="G18" s="184">
        <v>6.0811999999999999</v>
      </c>
      <c r="H18" s="202">
        <v>2484</v>
      </c>
      <c r="I18" s="202"/>
      <c r="J18" s="209">
        <v>680</v>
      </c>
      <c r="K18" s="209">
        <v>739</v>
      </c>
      <c r="L18" s="185">
        <f>SUM(H18:K18)</f>
        <v>3903</v>
      </c>
      <c r="M18" s="184">
        <f>SUM(J18:K18)</f>
        <v>1419</v>
      </c>
      <c r="N18" s="184"/>
    </row>
    <row r="19" spans="2:14" x14ac:dyDescent="0.25">
      <c r="B19" s="183"/>
      <c r="C19" s="183">
        <v>2</v>
      </c>
      <c r="D19" s="183">
        <v>0</v>
      </c>
      <c r="E19" s="189">
        <v>0</v>
      </c>
      <c r="F19" s="183">
        <v>495</v>
      </c>
      <c r="G19" s="184">
        <v>10.4291</v>
      </c>
      <c r="H19" s="203">
        <v>10.756</v>
      </c>
      <c r="I19" s="203"/>
      <c r="J19" s="210">
        <v>2.625</v>
      </c>
      <c r="K19" s="210">
        <v>19.1846</v>
      </c>
      <c r="L19" s="185">
        <f>SUM(H19:K19)</f>
        <v>32.565600000000003</v>
      </c>
      <c r="M19" s="213">
        <f>SUM(J19:K19)</f>
        <v>21.8096</v>
      </c>
      <c r="N19" s="184"/>
    </row>
    <row r="20" spans="2:14" x14ac:dyDescent="0.25">
      <c r="B20" s="183"/>
      <c r="C20" s="183">
        <v>3</v>
      </c>
      <c r="D20" s="183">
        <v>954</v>
      </c>
      <c r="E20" s="189">
        <v>5.7160000000000002</v>
      </c>
      <c r="F20" s="183">
        <v>779</v>
      </c>
      <c r="G20" s="184">
        <v>5.2992999999999997</v>
      </c>
      <c r="H20" s="205"/>
      <c r="I20" s="205"/>
      <c r="J20" s="207"/>
      <c r="K20" s="207"/>
      <c r="L20" s="183"/>
      <c r="M20" s="184"/>
      <c r="N20" s="184"/>
    </row>
    <row r="21" spans="2:14" x14ac:dyDescent="0.25">
      <c r="B21" s="252"/>
      <c r="C21" s="253"/>
      <c r="D21" s="186">
        <f>SUM(D18:D20)</f>
        <v>2484</v>
      </c>
      <c r="E21" s="190">
        <f>SUM(E18:E20)</f>
        <v>10.756</v>
      </c>
      <c r="F21" s="186">
        <f>SUM(F18:F20)</f>
        <v>1419</v>
      </c>
      <c r="G21" s="190">
        <f>SUM(G18:G20)</f>
        <v>21.8096</v>
      </c>
      <c r="H21" s="204">
        <f t="shared" ref="H21:K21" si="4">SUM(H19:H20)</f>
        <v>10.756</v>
      </c>
      <c r="I21" s="204">
        <f t="shared" si="4"/>
        <v>0</v>
      </c>
      <c r="J21" s="211">
        <f t="shared" si="4"/>
        <v>2.625</v>
      </c>
      <c r="K21" s="211">
        <f t="shared" si="4"/>
        <v>19.1846</v>
      </c>
      <c r="L21" s="190">
        <f>SUM(E21)</f>
        <v>10.756</v>
      </c>
      <c r="M21" s="190">
        <f>SUM(G21)</f>
        <v>21.8096</v>
      </c>
      <c r="N21" s="188"/>
    </row>
    <row r="22" spans="2:14" x14ac:dyDescent="0.25">
      <c r="B22" s="183">
        <v>5</v>
      </c>
      <c r="C22" s="183">
        <v>1</v>
      </c>
      <c r="D22" s="183">
        <v>1265</v>
      </c>
      <c r="E22" s="185">
        <v>12.422599999999999</v>
      </c>
      <c r="F22" s="184"/>
      <c r="G22" s="184"/>
      <c r="H22" s="202">
        <v>1515</v>
      </c>
      <c r="I22" s="202">
        <v>633</v>
      </c>
      <c r="J22" s="207"/>
      <c r="K22" s="207"/>
      <c r="L22" s="185">
        <f>SUM(H22:K22)</f>
        <v>2148</v>
      </c>
      <c r="M22" s="184">
        <f>SUM(J22:K22)</f>
        <v>0</v>
      </c>
      <c r="N22" s="184"/>
    </row>
    <row r="23" spans="2:14" x14ac:dyDescent="0.25">
      <c r="B23" s="183"/>
      <c r="C23" s="183">
        <v>2</v>
      </c>
      <c r="D23" s="183">
        <v>275</v>
      </c>
      <c r="E23" s="185">
        <v>10.4656</v>
      </c>
      <c r="F23" s="184"/>
      <c r="G23" s="184"/>
      <c r="H23" s="203">
        <v>11.06</v>
      </c>
      <c r="I23" s="203">
        <v>23.996400000000001</v>
      </c>
      <c r="J23" s="207"/>
      <c r="K23" s="207"/>
      <c r="L23" s="185">
        <f>SUM(H23:K23)</f>
        <v>35.056400000000004</v>
      </c>
      <c r="M23" s="213">
        <f>SUM(J23:K23)</f>
        <v>0</v>
      </c>
      <c r="N23" s="184"/>
    </row>
    <row r="24" spans="2:14" x14ac:dyDescent="0.25">
      <c r="B24" s="183"/>
      <c r="C24" s="183">
        <v>3</v>
      </c>
      <c r="D24" s="183">
        <v>608</v>
      </c>
      <c r="E24" s="185">
        <v>12.168100000000001</v>
      </c>
      <c r="F24" s="184"/>
      <c r="G24" s="184"/>
      <c r="H24" s="205"/>
      <c r="I24" s="201"/>
      <c r="J24" s="207"/>
      <c r="K24" s="207"/>
      <c r="L24" s="195"/>
      <c r="M24" s="184"/>
      <c r="N24" s="184"/>
    </row>
    <row r="25" spans="2:14" x14ac:dyDescent="0.25">
      <c r="B25" s="252"/>
      <c r="C25" s="253"/>
      <c r="D25" s="186">
        <f>SUM(D22:D24)</f>
        <v>2148</v>
      </c>
      <c r="E25" s="190">
        <f>SUM(E22:E24)</f>
        <v>35.0563</v>
      </c>
      <c r="F25" s="186">
        <f t="shared" ref="F25:K25" si="5">SUM(F22:F24)</f>
        <v>0</v>
      </c>
      <c r="G25" s="190">
        <f t="shared" si="5"/>
        <v>0</v>
      </c>
      <c r="H25" s="204">
        <f>SUM(H23)</f>
        <v>11.06</v>
      </c>
      <c r="I25" s="204">
        <f>SUM(I23)</f>
        <v>23.996400000000001</v>
      </c>
      <c r="J25" s="208">
        <f t="shared" si="5"/>
        <v>0</v>
      </c>
      <c r="K25" s="211">
        <f t="shared" si="5"/>
        <v>0</v>
      </c>
      <c r="L25" s="190">
        <f t="shared" ref="L25" si="6">SUM(L23:L24)</f>
        <v>35.056400000000004</v>
      </c>
      <c r="M25" s="190">
        <f>SUM(G25)</f>
        <v>0</v>
      </c>
      <c r="N25" s="188"/>
    </row>
    <row r="26" spans="2:14" x14ac:dyDescent="0.25">
      <c r="B26" s="183">
        <v>6</v>
      </c>
      <c r="C26" s="183">
        <v>1</v>
      </c>
      <c r="D26" s="183">
        <v>240</v>
      </c>
      <c r="E26" s="185">
        <v>12.7986</v>
      </c>
      <c r="F26" s="184"/>
      <c r="G26" s="184"/>
      <c r="H26" s="202">
        <v>694</v>
      </c>
      <c r="I26" s="202">
        <v>1063</v>
      </c>
      <c r="J26" s="207"/>
      <c r="K26" s="207"/>
      <c r="L26" s="185">
        <f>SUM(H26:K26)</f>
        <v>1757</v>
      </c>
      <c r="M26" s="184">
        <f>SUM(J26:K26)</f>
        <v>0</v>
      </c>
      <c r="N26" s="184"/>
    </row>
    <row r="27" spans="2:14" x14ac:dyDescent="0.25">
      <c r="B27" s="183"/>
      <c r="C27" s="183">
        <v>2</v>
      </c>
      <c r="D27" s="183">
        <v>825</v>
      </c>
      <c r="E27" s="185">
        <v>12.2378</v>
      </c>
      <c r="F27" s="184"/>
      <c r="G27" s="184"/>
      <c r="H27" s="205">
        <v>4.1619000000000002</v>
      </c>
      <c r="I27" s="205">
        <v>32.990900000000003</v>
      </c>
      <c r="J27" s="207"/>
      <c r="K27" s="207"/>
      <c r="L27" s="185">
        <f>SUM(H27:K27)</f>
        <v>37.152800000000006</v>
      </c>
      <c r="M27" s="213">
        <f>SUM(J27:K27)</f>
        <v>0</v>
      </c>
      <c r="N27" s="184"/>
    </row>
    <row r="28" spans="2:14" x14ac:dyDescent="0.25">
      <c r="B28" s="183"/>
      <c r="C28" s="183">
        <v>3</v>
      </c>
      <c r="D28" s="183">
        <v>692</v>
      </c>
      <c r="E28" s="185">
        <v>12.1165</v>
      </c>
      <c r="F28" s="184"/>
      <c r="G28" s="184"/>
      <c r="H28" s="205"/>
      <c r="I28" s="201"/>
      <c r="J28" s="207"/>
      <c r="K28" s="207"/>
      <c r="L28" s="195"/>
      <c r="M28" s="184"/>
      <c r="N28" s="184"/>
    </row>
    <row r="29" spans="2:14" x14ac:dyDescent="0.25">
      <c r="B29" s="252"/>
      <c r="C29" s="253"/>
      <c r="D29" s="186">
        <f>SUM(D26:D28)</f>
        <v>1757</v>
      </c>
      <c r="E29" s="190">
        <f>SUM(E26:E28)</f>
        <v>37.152900000000002</v>
      </c>
      <c r="F29" s="186">
        <f>SUM(F26:F28)</f>
        <v>0</v>
      </c>
      <c r="G29" s="190">
        <f>SUM(G26:G28)</f>
        <v>0</v>
      </c>
      <c r="H29" s="204">
        <f>SUM(H27)</f>
        <v>4.1619000000000002</v>
      </c>
      <c r="I29" s="204">
        <f>SUM(I27)</f>
        <v>32.990900000000003</v>
      </c>
      <c r="J29" s="208">
        <f t="shared" ref="J29" si="7">SUM(J26:J28)</f>
        <v>0</v>
      </c>
      <c r="K29" s="211">
        <f t="shared" ref="K29" si="8">SUM(K26:K28)</f>
        <v>0</v>
      </c>
      <c r="L29" s="190">
        <f t="shared" ref="L29" si="9">SUM(L27:L28)</f>
        <v>37.152800000000006</v>
      </c>
      <c r="M29" s="190">
        <f>SUM(G29)</f>
        <v>0</v>
      </c>
      <c r="N29" s="188"/>
    </row>
    <row r="30" spans="2:14" x14ac:dyDescent="0.25">
      <c r="B30" s="183">
        <v>7</v>
      </c>
      <c r="C30" s="183">
        <v>1</v>
      </c>
      <c r="D30" s="183">
        <v>520</v>
      </c>
      <c r="E30" s="185">
        <v>12.1365</v>
      </c>
      <c r="F30" s="184"/>
      <c r="G30" s="184"/>
      <c r="H30" s="202">
        <v>1002</v>
      </c>
      <c r="I30" s="202">
        <v>750</v>
      </c>
      <c r="J30" s="207"/>
      <c r="K30" s="207"/>
      <c r="L30" s="185">
        <f>SUM(H30:K30)</f>
        <v>1752</v>
      </c>
      <c r="M30" s="184">
        <f>SUM(J30:K30)</f>
        <v>0</v>
      </c>
      <c r="N30" s="184"/>
    </row>
    <row r="31" spans="2:14" x14ac:dyDescent="0.25">
      <c r="B31" s="183"/>
      <c r="C31" s="183">
        <v>2</v>
      </c>
      <c r="D31" s="183">
        <v>935</v>
      </c>
      <c r="E31" s="185">
        <v>12.254099999999999</v>
      </c>
      <c r="F31" s="184"/>
      <c r="G31" s="184"/>
      <c r="H31" s="205">
        <v>7.2431999999999999</v>
      </c>
      <c r="I31" s="205">
        <v>29.472200000000001</v>
      </c>
      <c r="J31" s="207"/>
      <c r="K31" s="207"/>
      <c r="L31" s="185">
        <f>SUM(H31:K31)</f>
        <v>36.715400000000002</v>
      </c>
      <c r="M31" s="213">
        <f>SUM(J31:K31)</f>
        <v>0</v>
      </c>
      <c r="N31" s="184"/>
    </row>
    <row r="32" spans="2:14" x14ac:dyDescent="0.25">
      <c r="B32" s="183"/>
      <c r="C32" s="183">
        <v>3</v>
      </c>
      <c r="D32" s="183">
        <v>337</v>
      </c>
      <c r="E32" s="185">
        <v>12.3247</v>
      </c>
      <c r="F32" s="184"/>
      <c r="G32" s="184"/>
      <c r="H32" s="205"/>
      <c r="I32" s="201"/>
      <c r="J32" s="207"/>
      <c r="K32" s="207"/>
      <c r="L32" s="195"/>
      <c r="M32" s="184"/>
      <c r="N32" s="184"/>
    </row>
    <row r="33" spans="2:14" x14ac:dyDescent="0.25">
      <c r="B33" s="252"/>
      <c r="C33" s="253"/>
      <c r="D33" s="186">
        <f>SUM(D30:D32)</f>
        <v>1792</v>
      </c>
      <c r="E33" s="190">
        <f>SUM(E30:E32)</f>
        <v>36.715299999999999</v>
      </c>
      <c r="F33" s="188"/>
      <c r="G33" s="188"/>
      <c r="H33" s="204">
        <f>SUM(H31)</f>
        <v>7.2431999999999999</v>
      </c>
      <c r="I33" s="204">
        <f>SUM(I31)</f>
        <v>29.472200000000001</v>
      </c>
      <c r="J33" s="211">
        <f t="shared" ref="J33:K33" si="10">SUM(J31)</f>
        <v>0</v>
      </c>
      <c r="K33" s="211">
        <f t="shared" si="10"/>
        <v>0</v>
      </c>
      <c r="L33" s="190">
        <f t="shared" ref="L33" si="11">SUM(L31:L32)</f>
        <v>36.715400000000002</v>
      </c>
      <c r="M33" s="190">
        <f>SUM(G33)</f>
        <v>0</v>
      </c>
      <c r="N33" s="188"/>
    </row>
    <row r="34" spans="2:14" x14ac:dyDescent="0.25">
      <c r="B34" s="183">
        <v>8</v>
      </c>
      <c r="C34" s="183">
        <v>1</v>
      </c>
      <c r="D34" s="183">
        <v>180</v>
      </c>
      <c r="E34" s="189">
        <v>1.728</v>
      </c>
      <c r="F34" s="195">
        <v>249</v>
      </c>
      <c r="G34" s="184">
        <v>8.8853000000000009</v>
      </c>
      <c r="H34" s="202">
        <v>180</v>
      </c>
      <c r="I34" s="202">
        <v>0</v>
      </c>
      <c r="J34" s="209">
        <v>27</v>
      </c>
      <c r="K34" s="209">
        <v>597</v>
      </c>
      <c r="L34" s="185">
        <f>SUM(H34:I34)</f>
        <v>180</v>
      </c>
      <c r="M34" s="184">
        <f>SUM(J34:K34)</f>
        <v>624</v>
      </c>
      <c r="N34" s="184"/>
    </row>
    <row r="35" spans="2:14" x14ac:dyDescent="0.25">
      <c r="B35" s="183"/>
      <c r="C35" s="183">
        <v>2</v>
      </c>
      <c r="D35" s="183"/>
      <c r="E35" s="185"/>
      <c r="F35" s="195">
        <v>189</v>
      </c>
      <c r="G35" s="184">
        <v>9.5303000000000004</v>
      </c>
      <c r="H35" s="205">
        <v>1.728</v>
      </c>
      <c r="I35" s="205">
        <v>0</v>
      </c>
      <c r="J35" s="210">
        <v>8.1000000000000003E-2</v>
      </c>
      <c r="K35" s="212">
        <v>28.139700000000001</v>
      </c>
      <c r="L35" s="189">
        <f>SUM(H35:I35)</f>
        <v>1.728</v>
      </c>
      <c r="M35" s="213">
        <f>SUM(J35:K35)</f>
        <v>28.220700000000001</v>
      </c>
      <c r="N35" s="184"/>
    </row>
    <row r="36" spans="2:14" x14ac:dyDescent="0.25">
      <c r="B36" s="183"/>
      <c r="C36" s="183">
        <v>3</v>
      </c>
      <c r="D36" s="183"/>
      <c r="E36" s="185"/>
      <c r="F36" s="195">
        <v>189</v>
      </c>
      <c r="G36" s="184">
        <v>9.8051999999999992</v>
      </c>
      <c r="H36" s="201"/>
      <c r="I36" s="201"/>
      <c r="J36" s="207"/>
      <c r="K36" s="207"/>
      <c r="L36" s="195"/>
      <c r="M36" s="184"/>
      <c r="N36" s="184"/>
    </row>
    <row r="37" spans="2:14" x14ac:dyDescent="0.25">
      <c r="B37" s="252"/>
      <c r="C37" s="253"/>
      <c r="D37" s="186">
        <f>SUM(D34:D36)</f>
        <v>180</v>
      </c>
      <c r="E37" s="190">
        <f>SUM(E34:E36)</f>
        <v>1.728</v>
      </c>
      <c r="F37" s="186">
        <f>SUM(F34:F36)</f>
        <v>627</v>
      </c>
      <c r="G37" s="190">
        <f>SUM(G34:G36)</f>
        <v>28.220800000000001</v>
      </c>
      <c r="H37" s="204">
        <f>SUM(H35)</f>
        <v>1.728</v>
      </c>
      <c r="I37" s="204">
        <f>SUM(I35)</f>
        <v>0</v>
      </c>
      <c r="J37" s="211">
        <f t="shared" ref="J37:K37" si="12">SUM(J35)</f>
        <v>8.1000000000000003E-2</v>
      </c>
      <c r="K37" s="211">
        <f t="shared" si="12"/>
        <v>28.139700000000001</v>
      </c>
      <c r="L37" s="190">
        <f t="shared" ref="L37:M37" si="13">SUM(L35:L36)</f>
        <v>1.728</v>
      </c>
      <c r="M37" s="190">
        <f t="shared" si="13"/>
        <v>28.220700000000001</v>
      </c>
      <c r="N37" s="188"/>
    </row>
    <row r="38" spans="2:14" x14ac:dyDescent="0.25">
      <c r="B38" s="183">
        <v>9</v>
      </c>
      <c r="C38" s="183">
        <v>1</v>
      </c>
      <c r="D38" s="183">
        <v>2424</v>
      </c>
      <c r="E38" s="185">
        <v>11.0404</v>
      </c>
      <c r="F38" s="184"/>
      <c r="G38" s="184"/>
      <c r="H38" s="202">
        <v>4917</v>
      </c>
      <c r="I38" s="202">
        <v>312</v>
      </c>
      <c r="J38" s="209"/>
      <c r="K38" s="209"/>
      <c r="L38" s="185">
        <f>SUM(H38:I38)</f>
        <v>5229</v>
      </c>
      <c r="M38" s="184">
        <f>SUM(J38:K38)</f>
        <v>0</v>
      </c>
      <c r="N38" s="184"/>
    </row>
    <row r="39" spans="2:14" x14ac:dyDescent="0.25">
      <c r="B39" s="183"/>
      <c r="C39" s="183">
        <v>2</v>
      </c>
      <c r="D39" s="183">
        <v>660</v>
      </c>
      <c r="E39" s="185">
        <v>11.9391</v>
      </c>
      <c r="F39" s="184"/>
      <c r="G39" s="184"/>
      <c r="H39" s="205">
        <v>24.3032</v>
      </c>
      <c r="I39" s="205">
        <v>10.887700000000001</v>
      </c>
      <c r="J39" s="210"/>
      <c r="K39" s="212"/>
      <c r="L39" s="189">
        <f>SUM(H39:I39)</f>
        <v>35.190899999999999</v>
      </c>
      <c r="M39" s="213">
        <f>SUM(J39:K39)</f>
        <v>0</v>
      </c>
      <c r="N39" s="184"/>
    </row>
    <row r="40" spans="2:14" x14ac:dyDescent="0.25">
      <c r="B40" s="183"/>
      <c r="C40" s="183">
        <v>3</v>
      </c>
      <c r="D40" s="183">
        <v>2145</v>
      </c>
      <c r="E40" s="185">
        <v>12.211399999999999</v>
      </c>
      <c r="F40" s="184"/>
      <c r="G40" s="184"/>
      <c r="H40" s="201"/>
      <c r="I40" s="201"/>
      <c r="J40" s="207"/>
      <c r="K40" s="207"/>
      <c r="L40" s="195"/>
      <c r="M40" s="184"/>
      <c r="N40" s="184"/>
    </row>
    <row r="41" spans="2:14" x14ac:dyDescent="0.25">
      <c r="B41" s="252"/>
      <c r="C41" s="253"/>
      <c r="D41" s="186">
        <f>SUM(D38:D40)</f>
        <v>5229</v>
      </c>
      <c r="E41" s="190">
        <f>SUM(E38:E40)</f>
        <v>35.190899999999999</v>
      </c>
      <c r="F41" s="186">
        <f>SUM(F38:F40)</f>
        <v>0</v>
      </c>
      <c r="G41" s="190">
        <f>SUM(G38:G40)</f>
        <v>0</v>
      </c>
      <c r="H41" s="204">
        <f>SUM(H39)</f>
        <v>24.3032</v>
      </c>
      <c r="I41" s="204">
        <f>SUM(I39)</f>
        <v>10.887700000000001</v>
      </c>
      <c r="J41" s="211">
        <f t="shared" ref="J41:K41" si="14">SUM(J39)</f>
        <v>0</v>
      </c>
      <c r="K41" s="211">
        <f t="shared" si="14"/>
        <v>0</v>
      </c>
      <c r="L41" s="190">
        <f t="shared" ref="L41:M41" si="15">SUM(L39:L40)</f>
        <v>35.190899999999999</v>
      </c>
      <c r="M41" s="190">
        <f t="shared" si="15"/>
        <v>0</v>
      </c>
      <c r="N41" s="188"/>
    </row>
    <row r="42" spans="2:14" x14ac:dyDescent="0.25">
      <c r="B42" s="183">
        <v>10</v>
      </c>
      <c r="C42" s="183">
        <v>1</v>
      </c>
      <c r="D42" s="183">
        <v>312</v>
      </c>
      <c r="E42" s="185">
        <v>9.1499000000000006</v>
      </c>
      <c r="F42" s="195">
        <v>89</v>
      </c>
      <c r="G42" s="184">
        <v>2.2096</v>
      </c>
      <c r="H42" s="202">
        <v>448</v>
      </c>
      <c r="I42" s="202">
        <v>544</v>
      </c>
      <c r="J42" s="209">
        <v>225</v>
      </c>
      <c r="K42" s="209">
        <v>348</v>
      </c>
      <c r="L42" s="185">
        <f>SUM(H42:I42)</f>
        <v>992</v>
      </c>
      <c r="M42" s="184">
        <f>SUM(J42:K42)</f>
        <v>573</v>
      </c>
      <c r="N42" s="184"/>
    </row>
    <row r="43" spans="2:14" x14ac:dyDescent="0.25">
      <c r="B43" s="183"/>
      <c r="C43" s="183">
        <v>2</v>
      </c>
      <c r="D43" s="183">
        <v>306</v>
      </c>
      <c r="E43" s="185">
        <v>8.0723000000000003</v>
      </c>
      <c r="F43" s="195">
        <v>223</v>
      </c>
      <c r="G43" s="184">
        <v>3.7141000000000002</v>
      </c>
      <c r="H43" s="205">
        <v>4.3015999999999996</v>
      </c>
      <c r="I43" s="205">
        <v>16.984100000000002</v>
      </c>
      <c r="J43" s="212">
        <v>1.0316000000000001</v>
      </c>
      <c r="K43" s="212">
        <v>12.380800000000001</v>
      </c>
      <c r="L43" s="189">
        <f>SUM(H43:I43)</f>
        <v>21.285700000000002</v>
      </c>
      <c r="M43" s="213">
        <f>SUM(J43:K43)</f>
        <v>13.412400000000002</v>
      </c>
      <c r="N43" s="184"/>
    </row>
    <row r="44" spans="2:14" x14ac:dyDescent="0.25">
      <c r="B44" s="183"/>
      <c r="C44" s="183">
        <v>3</v>
      </c>
      <c r="D44" s="183">
        <v>374</v>
      </c>
      <c r="E44" s="185">
        <v>4.0635000000000003</v>
      </c>
      <c r="F44" s="195">
        <v>261</v>
      </c>
      <c r="G44" s="184">
        <v>7.4886999999999997</v>
      </c>
      <c r="H44" s="201"/>
      <c r="I44" s="201"/>
      <c r="J44" s="207"/>
      <c r="K44" s="207"/>
      <c r="L44" s="195"/>
      <c r="M44" s="184"/>
      <c r="N44" s="184"/>
    </row>
    <row r="45" spans="2:14" x14ac:dyDescent="0.25">
      <c r="B45" s="252"/>
      <c r="C45" s="253"/>
      <c r="D45" s="186">
        <f>SUM(D42:D44)</f>
        <v>992</v>
      </c>
      <c r="E45" s="190">
        <f>SUM(E42:E44)</f>
        <v>21.285700000000002</v>
      </c>
      <c r="F45" s="186">
        <f>SUM(F42:F44)</f>
        <v>573</v>
      </c>
      <c r="G45" s="190">
        <f>SUM(G42:G44)</f>
        <v>13.4124</v>
      </c>
      <c r="H45" s="204">
        <f>SUM(H43)</f>
        <v>4.3015999999999996</v>
      </c>
      <c r="I45" s="204">
        <f>SUM(I43)</f>
        <v>16.984100000000002</v>
      </c>
      <c r="J45" s="211">
        <f t="shared" ref="J45:K45" si="16">SUM(J43)</f>
        <v>1.0316000000000001</v>
      </c>
      <c r="K45" s="211">
        <f t="shared" si="16"/>
        <v>12.380800000000001</v>
      </c>
      <c r="L45" s="190">
        <f t="shared" ref="L45:M45" si="17">SUM(L43:L44)</f>
        <v>21.285700000000002</v>
      </c>
      <c r="M45" s="190">
        <f t="shared" si="17"/>
        <v>13.412400000000002</v>
      </c>
      <c r="N45" s="188"/>
    </row>
    <row r="46" spans="2:14" x14ac:dyDescent="0.25">
      <c r="B46" s="183">
        <v>11</v>
      </c>
      <c r="C46" s="183">
        <v>1</v>
      </c>
      <c r="D46" s="183">
        <v>109</v>
      </c>
      <c r="E46" s="185">
        <v>6.0288000000000004</v>
      </c>
      <c r="F46" s="195">
        <v>165</v>
      </c>
      <c r="G46" s="184">
        <v>6.0232000000000001</v>
      </c>
      <c r="H46" s="202">
        <v>184</v>
      </c>
      <c r="I46" s="202">
        <v>421</v>
      </c>
      <c r="J46" s="209">
        <v>790</v>
      </c>
      <c r="K46" s="209">
        <v>363</v>
      </c>
      <c r="L46" s="185">
        <f>SUM(H46:I46)</f>
        <v>605</v>
      </c>
      <c r="M46" s="184">
        <f>SUM(J46:K46)</f>
        <v>1153</v>
      </c>
      <c r="N46" s="184"/>
    </row>
    <row r="47" spans="2:14" x14ac:dyDescent="0.25">
      <c r="B47" s="183"/>
      <c r="C47" s="183">
        <v>2</v>
      </c>
      <c r="D47" s="183">
        <v>234</v>
      </c>
      <c r="E47" s="185">
        <v>5.9203999999999999</v>
      </c>
      <c r="F47" s="195">
        <v>624</v>
      </c>
      <c r="G47" s="184">
        <v>5.0986000000000002</v>
      </c>
      <c r="H47" s="205">
        <v>2.3119999999999998</v>
      </c>
      <c r="I47" s="205">
        <v>16.6282</v>
      </c>
      <c r="J47" s="212">
        <v>4.3033999999999999</v>
      </c>
      <c r="K47" s="212">
        <v>12.6158</v>
      </c>
      <c r="L47" s="189">
        <f>SUM(H47:I47)</f>
        <v>18.940200000000001</v>
      </c>
      <c r="M47" s="213">
        <f>SUM(J47:K47)</f>
        <v>16.9192</v>
      </c>
      <c r="N47" s="184"/>
    </row>
    <row r="48" spans="2:14" x14ac:dyDescent="0.25">
      <c r="B48" s="183"/>
      <c r="C48" s="183">
        <v>3</v>
      </c>
      <c r="D48" s="183">
        <v>262</v>
      </c>
      <c r="E48" s="189">
        <v>6.9909999999999997</v>
      </c>
      <c r="F48" s="195">
        <v>364</v>
      </c>
      <c r="G48" s="184">
        <v>5.7973999999999997</v>
      </c>
      <c r="H48" s="201"/>
      <c r="I48" s="201"/>
      <c r="J48" s="207"/>
      <c r="K48" s="207"/>
      <c r="L48" s="195"/>
      <c r="M48" s="184"/>
      <c r="N48" s="184"/>
    </row>
    <row r="49" spans="2:14" x14ac:dyDescent="0.25">
      <c r="B49" s="252"/>
      <c r="C49" s="253"/>
      <c r="D49" s="186">
        <f>SUM(D46:D48)</f>
        <v>605</v>
      </c>
      <c r="E49" s="190">
        <f>SUM(E46:E48)</f>
        <v>18.940200000000001</v>
      </c>
      <c r="F49" s="186">
        <f>SUM(F46:F48)</f>
        <v>1153</v>
      </c>
      <c r="G49" s="190">
        <f>SUM(G46:G48)</f>
        <v>16.9192</v>
      </c>
      <c r="H49" s="204">
        <f>SUM(H47)</f>
        <v>2.3119999999999998</v>
      </c>
      <c r="I49" s="204">
        <f>SUM(I47)</f>
        <v>16.6282</v>
      </c>
      <c r="J49" s="211">
        <f t="shared" ref="J49:K49" si="18">SUM(J47)</f>
        <v>4.3033999999999999</v>
      </c>
      <c r="K49" s="211">
        <f t="shared" si="18"/>
        <v>12.6158</v>
      </c>
      <c r="L49" s="190">
        <f t="shared" ref="L49:M49" si="19">SUM(L47:L48)</f>
        <v>18.940200000000001</v>
      </c>
      <c r="M49" s="190">
        <f t="shared" si="19"/>
        <v>16.9192</v>
      </c>
      <c r="N49" s="188"/>
    </row>
    <row r="50" spans="2:14" x14ac:dyDescent="0.25">
      <c r="B50" s="183">
        <v>12</v>
      </c>
      <c r="C50" s="183">
        <v>1</v>
      </c>
      <c r="D50" s="183">
        <v>430</v>
      </c>
      <c r="E50" s="185">
        <v>11.349299999999999</v>
      </c>
      <c r="F50" s="195">
        <v>58</v>
      </c>
      <c r="G50" s="184">
        <v>0.4456</v>
      </c>
      <c r="H50" s="202">
        <v>2293</v>
      </c>
      <c r="I50" s="202">
        <v>806</v>
      </c>
      <c r="J50" s="209">
        <v>140</v>
      </c>
      <c r="K50" s="209">
        <v>129</v>
      </c>
      <c r="L50" s="185">
        <f>SUM(H50:I50)</f>
        <v>3099</v>
      </c>
      <c r="M50" s="184">
        <f>SUM(J50:K50)</f>
        <v>269</v>
      </c>
      <c r="N50" s="184"/>
    </row>
    <row r="51" spans="2:14" x14ac:dyDescent="0.25">
      <c r="B51" s="183"/>
      <c r="C51" s="183">
        <v>2</v>
      </c>
      <c r="D51" s="183">
        <v>2244</v>
      </c>
      <c r="E51" s="185">
        <v>11.016</v>
      </c>
      <c r="F51" s="195"/>
      <c r="G51" s="184"/>
      <c r="H51" s="205">
        <v>11.5624</v>
      </c>
      <c r="I51" s="205">
        <v>20.206800000000001</v>
      </c>
      <c r="J51" s="212">
        <v>0.8216</v>
      </c>
      <c r="K51" s="212">
        <v>2.2359</v>
      </c>
      <c r="L51" s="189">
        <f>SUM(H51:I51)</f>
        <v>31.769200000000001</v>
      </c>
      <c r="M51" s="213">
        <f>SUM(J51:K51)</f>
        <v>3.0575000000000001</v>
      </c>
      <c r="N51" s="184"/>
    </row>
    <row r="52" spans="2:14" x14ac:dyDescent="0.25">
      <c r="B52" s="183"/>
      <c r="C52" s="183">
        <v>3</v>
      </c>
      <c r="D52" s="183">
        <v>425</v>
      </c>
      <c r="E52" s="185">
        <v>9.4039999999999999</v>
      </c>
      <c r="F52" s="195">
        <v>211</v>
      </c>
      <c r="G52" s="213">
        <v>2.6120000000000001</v>
      </c>
      <c r="H52" s="201"/>
      <c r="I52" s="201"/>
      <c r="J52" s="207"/>
      <c r="K52" s="207"/>
      <c r="L52" s="195"/>
      <c r="M52" s="184"/>
      <c r="N52" s="184"/>
    </row>
    <row r="53" spans="2:14" x14ac:dyDescent="0.25">
      <c r="B53" s="252"/>
      <c r="C53" s="253"/>
      <c r="D53" s="186">
        <f>SUM(D50:D52)</f>
        <v>3099</v>
      </c>
      <c r="E53" s="190">
        <f>SUM(E50:E52)</f>
        <v>31.769299999999998</v>
      </c>
      <c r="F53" s="186">
        <f>SUM(F50:F52)</f>
        <v>269</v>
      </c>
      <c r="G53" s="190">
        <f>SUM(G50:G52)</f>
        <v>3.0575999999999999</v>
      </c>
      <c r="H53" s="204">
        <f>SUM(H51)</f>
        <v>11.5624</v>
      </c>
      <c r="I53" s="204">
        <f>SUM(I51)</f>
        <v>20.206800000000001</v>
      </c>
      <c r="J53" s="211">
        <f t="shared" ref="J53:K53" si="20">SUM(J51)</f>
        <v>0.8216</v>
      </c>
      <c r="K53" s="211">
        <f t="shared" si="20"/>
        <v>2.2359</v>
      </c>
      <c r="L53" s="190">
        <f t="shared" ref="L53:M53" si="21">SUM(L51:L52)</f>
        <v>31.769200000000001</v>
      </c>
      <c r="M53" s="190">
        <f t="shared" si="21"/>
        <v>3.0575000000000001</v>
      </c>
      <c r="N53" s="188"/>
    </row>
    <row r="54" spans="2:14" x14ac:dyDescent="0.25">
      <c r="B54" s="183">
        <v>13</v>
      </c>
      <c r="C54" s="183">
        <v>1</v>
      </c>
      <c r="D54" s="183">
        <v>302</v>
      </c>
      <c r="E54" s="185">
        <v>4.2191000000000001</v>
      </c>
      <c r="F54" s="195">
        <v>526</v>
      </c>
      <c r="G54" s="184">
        <v>6.8025000000000002</v>
      </c>
      <c r="H54" s="202">
        <v>391</v>
      </c>
      <c r="I54" s="202">
        <v>794</v>
      </c>
      <c r="J54" s="209">
        <v>403</v>
      </c>
      <c r="K54" s="209">
        <v>123</v>
      </c>
      <c r="L54" s="185">
        <f>SUM(H54:I54)</f>
        <v>1185</v>
      </c>
      <c r="M54" s="184">
        <f>SUM(J54:K54)</f>
        <v>526</v>
      </c>
      <c r="N54" s="184"/>
    </row>
    <row r="55" spans="2:14" x14ac:dyDescent="0.25">
      <c r="B55" s="183"/>
      <c r="C55" s="183">
        <v>2</v>
      </c>
      <c r="D55" s="183">
        <v>361</v>
      </c>
      <c r="E55" s="185">
        <v>10.717000000000001</v>
      </c>
      <c r="F55" s="195"/>
      <c r="G55" s="184"/>
      <c r="H55" s="205">
        <v>4.1247999999999996</v>
      </c>
      <c r="I55" s="205">
        <v>22.162800000000001</v>
      </c>
      <c r="J55" s="212">
        <v>2.6953999999999998</v>
      </c>
      <c r="K55" s="212">
        <v>4.1071</v>
      </c>
      <c r="L55" s="189">
        <f>SUM(H55:I55)</f>
        <v>26.287600000000001</v>
      </c>
      <c r="M55" s="213">
        <f>SUM(J55:K55)</f>
        <v>6.8025000000000002</v>
      </c>
      <c r="N55" s="184"/>
    </row>
    <row r="56" spans="2:14" x14ac:dyDescent="0.25">
      <c r="B56" s="183"/>
      <c r="C56" s="183">
        <v>3</v>
      </c>
      <c r="D56" s="183">
        <v>522</v>
      </c>
      <c r="E56" s="185">
        <v>11.3514</v>
      </c>
      <c r="F56" s="195"/>
      <c r="G56" s="184"/>
      <c r="H56" s="201"/>
      <c r="I56" s="201"/>
      <c r="J56" s="207"/>
      <c r="K56" s="207"/>
      <c r="L56" s="195"/>
      <c r="M56" s="184"/>
      <c r="N56" s="184"/>
    </row>
    <row r="57" spans="2:14" x14ac:dyDescent="0.25">
      <c r="B57" s="252"/>
      <c r="C57" s="253"/>
      <c r="D57" s="186">
        <f>SUM(D54:D56)</f>
        <v>1185</v>
      </c>
      <c r="E57" s="190">
        <f>SUM(E54:E56)</f>
        <v>26.287500000000001</v>
      </c>
      <c r="F57" s="186">
        <f>SUM(F54:F56)</f>
        <v>526</v>
      </c>
      <c r="G57" s="190">
        <f>SUM(G54:G56)</f>
        <v>6.8025000000000002</v>
      </c>
      <c r="H57" s="204">
        <f>SUM(H55)</f>
        <v>4.1247999999999996</v>
      </c>
      <c r="I57" s="204">
        <f>SUM(I55)</f>
        <v>22.162800000000001</v>
      </c>
      <c r="J57" s="211">
        <f t="shared" ref="J57:K57" si="22">SUM(J55)</f>
        <v>2.6953999999999998</v>
      </c>
      <c r="K57" s="211">
        <f t="shared" si="22"/>
        <v>4.1071</v>
      </c>
      <c r="L57" s="190">
        <f t="shared" ref="L57:M57" si="23">SUM(L55:L56)</f>
        <v>26.287600000000001</v>
      </c>
      <c r="M57" s="190">
        <f t="shared" si="23"/>
        <v>6.8025000000000002</v>
      </c>
      <c r="N57" s="188"/>
    </row>
    <row r="58" spans="2:14" x14ac:dyDescent="0.25">
      <c r="B58" s="183">
        <v>14</v>
      </c>
      <c r="C58" s="183">
        <v>1</v>
      </c>
      <c r="D58" s="183">
        <v>1411</v>
      </c>
      <c r="E58" s="185">
        <v>12.4559</v>
      </c>
      <c r="F58" s="195"/>
      <c r="G58" s="184"/>
      <c r="H58" s="202">
        <v>1864</v>
      </c>
      <c r="I58" s="202">
        <v>675</v>
      </c>
      <c r="J58" s="209">
        <v>77</v>
      </c>
      <c r="K58" s="209">
        <v>31</v>
      </c>
      <c r="L58" s="185">
        <f>SUM(H58:I58)</f>
        <v>2539</v>
      </c>
      <c r="M58" s="184">
        <f>SUM(J58:K58)</f>
        <v>108</v>
      </c>
      <c r="N58" s="184"/>
    </row>
    <row r="59" spans="2:14" x14ac:dyDescent="0.25">
      <c r="B59" s="183"/>
      <c r="C59" s="183">
        <v>2</v>
      </c>
      <c r="D59" s="183">
        <v>317</v>
      </c>
      <c r="E59" s="185">
        <v>11.778</v>
      </c>
      <c r="F59" s="195">
        <v>45</v>
      </c>
      <c r="G59" s="184">
        <v>0.2336</v>
      </c>
      <c r="H59" s="205">
        <v>11.388999999999999</v>
      </c>
      <c r="I59" s="205">
        <v>23.844200000000001</v>
      </c>
      <c r="J59" s="212">
        <v>0.52239999999999998</v>
      </c>
      <c r="K59" s="212">
        <v>0.92620000000000002</v>
      </c>
      <c r="L59" s="189">
        <f>SUM(H59:I59)</f>
        <v>35.233199999999997</v>
      </c>
      <c r="M59" s="213">
        <f>SUM(J59:K59)</f>
        <v>1.4485999999999999</v>
      </c>
      <c r="N59" s="184"/>
    </row>
    <row r="60" spans="2:14" x14ac:dyDescent="0.25">
      <c r="B60" s="183"/>
      <c r="C60" s="183">
        <v>3</v>
      </c>
      <c r="D60" s="183">
        <v>811</v>
      </c>
      <c r="E60" s="185">
        <v>10.9994</v>
      </c>
      <c r="F60" s="195">
        <v>63</v>
      </c>
      <c r="G60" s="213">
        <v>1.2150000000000001</v>
      </c>
      <c r="H60" s="201"/>
      <c r="I60" s="201"/>
      <c r="J60" s="207"/>
      <c r="K60" s="207"/>
      <c r="L60" s="195"/>
      <c r="M60" s="184"/>
      <c r="N60" s="184"/>
    </row>
    <row r="61" spans="2:14" x14ac:dyDescent="0.25">
      <c r="B61" s="252"/>
      <c r="C61" s="253"/>
      <c r="D61" s="186">
        <f>SUM(D58:D60)</f>
        <v>2539</v>
      </c>
      <c r="E61" s="190">
        <f>SUM(E58:E60)</f>
        <v>35.2333</v>
      </c>
      <c r="F61" s="186">
        <f>SUM(F58:F60)</f>
        <v>108</v>
      </c>
      <c r="G61" s="190">
        <f>SUM(G58:G60)</f>
        <v>1.4486000000000001</v>
      </c>
      <c r="H61" s="204">
        <f>SUM(H59)</f>
        <v>11.388999999999999</v>
      </c>
      <c r="I61" s="204">
        <f>SUM(I59)</f>
        <v>23.844200000000001</v>
      </c>
      <c r="J61" s="211">
        <f t="shared" ref="J61:K61" si="24">SUM(J59)</f>
        <v>0.52239999999999998</v>
      </c>
      <c r="K61" s="211">
        <f t="shared" si="24"/>
        <v>0.92620000000000002</v>
      </c>
      <c r="L61" s="190">
        <f t="shared" ref="L61:M61" si="25">SUM(L59:L60)</f>
        <v>35.233199999999997</v>
      </c>
      <c r="M61" s="190">
        <f t="shared" si="25"/>
        <v>1.4485999999999999</v>
      </c>
      <c r="N61" s="188"/>
    </row>
    <row r="62" spans="2:14" x14ac:dyDescent="0.25">
      <c r="B62" s="183">
        <v>15</v>
      </c>
      <c r="C62" s="183">
        <v>1</v>
      </c>
      <c r="D62" s="183">
        <v>733</v>
      </c>
      <c r="E62" s="185">
        <v>11.4382</v>
      </c>
      <c r="F62" s="195">
        <v>103</v>
      </c>
      <c r="G62" s="184">
        <v>0.61160000000000003</v>
      </c>
      <c r="H62" s="202">
        <v>851</v>
      </c>
      <c r="I62" s="202">
        <v>646</v>
      </c>
      <c r="J62" s="209">
        <v>482</v>
      </c>
      <c r="K62" s="209">
        <v>116</v>
      </c>
      <c r="L62" s="185">
        <f>SUM(H62:I62)</f>
        <v>1497</v>
      </c>
      <c r="M62" s="184">
        <f>SUM(J62:K62)</f>
        <v>598</v>
      </c>
      <c r="N62" s="184"/>
    </row>
    <row r="63" spans="2:14" x14ac:dyDescent="0.25">
      <c r="B63" s="183"/>
      <c r="C63" s="183">
        <v>2</v>
      </c>
      <c r="D63" s="183">
        <v>198</v>
      </c>
      <c r="E63" s="185">
        <v>7.6283000000000003</v>
      </c>
      <c r="F63" s="195">
        <v>432</v>
      </c>
      <c r="G63" s="213">
        <v>4.4960000000000004</v>
      </c>
      <c r="H63" s="205">
        <v>6.1144999999999996</v>
      </c>
      <c r="I63" s="205">
        <v>26.331800000000001</v>
      </c>
      <c r="J63" s="212">
        <v>2.3887999999999998</v>
      </c>
      <c r="K63" s="212">
        <v>3.2715999999999998</v>
      </c>
      <c r="L63" s="189">
        <f>SUM(H63:I63)</f>
        <v>32.446300000000001</v>
      </c>
      <c r="M63" s="213">
        <f>SUM(J63:K63)</f>
        <v>5.6603999999999992</v>
      </c>
      <c r="N63" s="184"/>
    </row>
    <row r="64" spans="2:14" x14ac:dyDescent="0.25">
      <c r="B64" s="183"/>
      <c r="C64" s="183">
        <v>3</v>
      </c>
      <c r="D64" s="183">
        <v>566</v>
      </c>
      <c r="E64" s="185">
        <v>13.379799999999999</v>
      </c>
      <c r="F64" s="195">
        <v>63</v>
      </c>
      <c r="G64" s="184">
        <v>0.55279999999999996</v>
      </c>
      <c r="H64" s="201"/>
      <c r="I64" s="201"/>
      <c r="J64" s="207"/>
      <c r="K64" s="207"/>
      <c r="L64" s="195"/>
      <c r="M64" s="184"/>
      <c r="N64" s="184"/>
    </row>
    <row r="65" spans="2:14" x14ac:dyDescent="0.25">
      <c r="B65" s="252"/>
      <c r="C65" s="253"/>
      <c r="D65" s="186">
        <f>SUM(D62:D64)</f>
        <v>1497</v>
      </c>
      <c r="E65" s="190">
        <f>SUM(E62:E64)</f>
        <v>32.446300000000001</v>
      </c>
      <c r="F65" s="186">
        <f>SUM(F62:F64)</f>
        <v>598</v>
      </c>
      <c r="G65" s="190">
        <f>SUM(G62:G64)</f>
        <v>5.660400000000001</v>
      </c>
      <c r="H65" s="204">
        <f>SUM(H63)</f>
        <v>6.1144999999999996</v>
      </c>
      <c r="I65" s="204">
        <f>SUM(I63)</f>
        <v>26.331800000000001</v>
      </c>
      <c r="J65" s="211">
        <f t="shared" ref="J65:K65" si="26">SUM(J63)</f>
        <v>2.3887999999999998</v>
      </c>
      <c r="K65" s="211">
        <f t="shared" si="26"/>
        <v>3.2715999999999998</v>
      </c>
      <c r="L65" s="190">
        <f t="shared" ref="L65:M65" si="27">SUM(L63:L64)</f>
        <v>32.446300000000001</v>
      </c>
      <c r="M65" s="190">
        <f t="shared" si="27"/>
        <v>5.6603999999999992</v>
      </c>
      <c r="N65" s="188"/>
    </row>
    <row r="66" spans="2:14" x14ac:dyDescent="0.25">
      <c r="B66" s="183">
        <v>16</v>
      </c>
      <c r="C66" s="183">
        <v>1</v>
      </c>
      <c r="D66" s="183">
        <v>1565</v>
      </c>
      <c r="E66" s="185">
        <v>12.1167</v>
      </c>
      <c r="F66" s="195"/>
      <c r="G66" s="184"/>
      <c r="H66" s="202">
        <v>2070</v>
      </c>
      <c r="I66" s="202">
        <v>482</v>
      </c>
      <c r="J66" s="209"/>
      <c r="K66" s="209">
        <v>29</v>
      </c>
      <c r="L66" s="185">
        <f>SUM(H66:I66)</f>
        <v>2552</v>
      </c>
      <c r="M66" s="184">
        <f>SUM(J66:K66)</f>
        <v>29</v>
      </c>
      <c r="N66" s="184" t="s">
        <v>127</v>
      </c>
    </row>
    <row r="67" spans="2:14" x14ac:dyDescent="0.25">
      <c r="B67" s="183"/>
      <c r="C67" s="183">
        <v>2</v>
      </c>
      <c r="D67" s="183">
        <v>662</v>
      </c>
      <c r="E67" s="185">
        <v>12.2437</v>
      </c>
      <c r="F67" s="195">
        <v>10</v>
      </c>
      <c r="G67" s="213">
        <v>0.248</v>
      </c>
      <c r="H67" s="205">
        <v>9.8079999999999998</v>
      </c>
      <c r="I67" s="205">
        <v>18.574400000000001</v>
      </c>
      <c r="J67" s="212"/>
      <c r="K67" s="210">
        <v>0.64</v>
      </c>
      <c r="L67" s="189">
        <f>SUM(H67:I67)</f>
        <v>28.382400000000001</v>
      </c>
      <c r="M67" s="213">
        <f>SUM(J67:K67)</f>
        <v>0.64</v>
      </c>
      <c r="N67" s="200">
        <v>1208</v>
      </c>
    </row>
    <row r="68" spans="2:14" x14ac:dyDescent="0.25">
      <c r="B68" s="183"/>
      <c r="C68" s="183">
        <v>3</v>
      </c>
      <c r="D68" s="183">
        <v>325</v>
      </c>
      <c r="E68" s="185">
        <v>4.0220000000000002</v>
      </c>
      <c r="F68" s="195">
        <v>19</v>
      </c>
      <c r="G68" s="213">
        <v>0.39200000000000002</v>
      </c>
      <c r="H68" s="201"/>
      <c r="I68" s="201"/>
      <c r="J68" s="207"/>
      <c r="K68" s="207"/>
      <c r="L68" s="195"/>
      <c r="M68" s="184"/>
      <c r="N68" s="200">
        <v>9.0640999999999998</v>
      </c>
    </row>
    <row r="69" spans="2:14" x14ac:dyDescent="0.25">
      <c r="B69" s="252"/>
      <c r="C69" s="253"/>
      <c r="D69" s="186">
        <f>SUM(D66:D68)</f>
        <v>2552</v>
      </c>
      <c r="E69" s="190">
        <f>SUM(E66:E68)</f>
        <v>28.382399999999997</v>
      </c>
      <c r="F69" s="186">
        <f>SUM(F66:F68)</f>
        <v>29</v>
      </c>
      <c r="G69" s="190">
        <f>SUM(G66:G68)</f>
        <v>0.64</v>
      </c>
      <c r="H69" s="204">
        <f>SUM(H67)</f>
        <v>9.8079999999999998</v>
      </c>
      <c r="I69" s="204">
        <f>SUM(I67)</f>
        <v>18.574400000000001</v>
      </c>
      <c r="J69" s="211">
        <f>SUM(J67)</f>
        <v>0</v>
      </c>
      <c r="K69" s="211">
        <f t="shared" ref="K69" si="28">SUM(K67)</f>
        <v>0.64</v>
      </c>
      <c r="L69" s="190">
        <f t="shared" ref="L69:M69" si="29">SUM(L67:L68)</f>
        <v>28.382400000000001</v>
      </c>
      <c r="M69" s="190">
        <f t="shared" si="29"/>
        <v>0.64</v>
      </c>
      <c r="N69" s="188"/>
    </row>
    <row r="70" spans="2:14" x14ac:dyDescent="0.25">
      <c r="B70" s="183">
        <v>17</v>
      </c>
      <c r="C70" s="183">
        <v>1</v>
      </c>
      <c r="D70" s="183">
        <v>251</v>
      </c>
      <c r="E70" s="185">
        <v>10.916</v>
      </c>
      <c r="F70" s="195">
        <v>37</v>
      </c>
      <c r="G70" s="184">
        <v>1.0085999999999999</v>
      </c>
      <c r="H70" s="202">
        <v>380</v>
      </c>
      <c r="I70" s="202">
        <v>621</v>
      </c>
      <c r="J70" s="209">
        <v>67</v>
      </c>
      <c r="K70" s="209">
        <v>32</v>
      </c>
      <c r="L70" s="185">
        <f>SUM(H70:I70)</f>
        <v>1001</v>
      </c>
      <c r="M70" s="184">
        <f>SUM(J70:K70)</f>
        <v>99</v>
      </c>
      <c r="N70" s="184"/>
    </row>
    <row r="71" spans="2:14" x14ac:dyDescent="0.25">
      <c r="B71" s="183"/>
      <c r="C71" s="183">
        <v>2</v>
      </c>
      <c r="D71" s="183">
        <v>527</v>
      </c>
      <c r="E71" s="185">
        <v>13.432</v>
      </c>
      <c r="F71" s="195"/>
      <c r="G71" s="184"/>
      <c r="H71" s="205">
        <v>3.3488000000000002</v>
      </c>
      <c r="I71" s="205">
        <v>32.456000000000003</v>
      </c>
      <c r="J71" s="212">
        <v>0.4088</v>
      </c>
      <c r="K71" s="210">
        <v>1.5449999999999999</v>
      </c>
      <c r="L71" s="189">
        <f>SUM(H71:I71)</f>
        <v>35.8048</v>
      </c>
      <c r="M71" s="213">
        <f>SUM(J71:K71)</f>
        <v>1.9538</v>
      </c>
      <c r="N71" s="184"/>
    </row>
    <row r="72" spans="2:14" x14ac:dyDescent="0.25">
      <c r="B72" s="183"/>
      <c r="C72" s="183">
        <v>3</v>
      </c>
      <c r="D72" s="183">
        <v>223</v>
      </c>
      <c r="E72" s="185">
        <v>11.456799999999999</v>
      </c>
      <c r="F72" s="195">
        <v>62</v>
      </c>
      <c r="G72" s="184">
        <v>0.94520000000000004</v>
      </c>
      <c r="H72" s="201"/>
      <c r="I72" s="201"/>
      <c r="J72" s="207"/>
      <c r="K72" s="207"/>
      <c r="L72" s="195"/>
      <c r="M72" s="184"/>
      <c r="N72" s="184"/>
    </row>
    <row r="73" spans="2:14" x14ac:dyDescent="0.25">
      <c r="B73" s="252"/>
      <c r="C73" s="253"/>
      <c r="D73" s="186">
        <f>SUM(D70:D72)</f>
        <v>1001</v>
      </c>
      <c r="E73" s="190">
        <f>SUM(E70:E72)</f>
        <v>35.8048</v>
      </c>
      <c r="F73" s="186">
        <f>SUM(F70:F72)</f>
        <v>99</v>
      </c>
      <c r="G73" s="190">
        <f>SUM(G70:G72)</f>
        <v>1.9538</v>
      </c>
      <c r="H73" s="204">
        <f>SUM(H71)</f>
        <v>3.3488000000000002</v>
      </c>
      <c r="I73" s="204">
        <f>SUM(I71)</f>
        <v>32.456000000000003</v>
      </c>
      <c r="J73" s="211">
        <f t="shared" ref="J73:K73" si="30">SUM(J71)</f>
        <v>0.4088</v>
      </c>
      <c r="K73" s="211">
        <f t="shared" si="30"/>
        <v>1.5449999999999999</v>
      </c>
      <c r="L73" s="190">
        <f t="shared" ref="L73:M73" si="31">SUM(L71:L72)</f>
        <v>35.8048</v>
      </c>
      <c r="M73" s="190">
        <f t="shared" si="31"/>
        <v>1.9538</v>
      </c>
      <c r="N73" s="188"/>
    </row>
    <row r="74" spans="2:14" x14ac:dyDescent="0.25">
      <c r="B74" s="183">
        <v>18</v>
      </c>
      <c r="C74" s="183">
        <v>1</v>
      </c>
      <c r="D74" s="183">
        <v>468</v>
      </c>
      <c r="E74" s="185">
        <v>12.517200000000001</v>
      </c>
      <c r="F74" s="195"/>
      <c r="G74" s="184"/>
      <c r="H74" s="202">
        <v>1817</v>
      </c>
      <c r="I74" s="202">
        <v>562</v>
      </c>
      <c r="J74" s="209"/>
      <c r="K74" s="209"/>
      <c r="L74" s="185">
        <f>SUM(H74:I74)</f>
        <v>2379</v>
      </c>
      <c r="M74" s="184">
        <f>SUM(J74:K74)</f>
        <v>0</v>
      </c>
      <c r="N74" s="184"/>
    </row>
    <row r="75" spans="2:14" x14ac:dyDescent="0.25">
      <c r="B75" s="183"/>
      <c r="C75" s="183">
        <v>2</v>
      </c>
      <c r="D75" s="183">
        <v>1478</v>
      </c>
      <c r="E75" s="185">
        <v>11.0002</v>
      </c>
      <c r="F75" s="195"/>
      <c r="G75" s="184"/>
      <c r="H75" s="205">
        <v>12.4254</v>
      </c>
      <c r="I75" s="205">
        <v>22.056000000000001</v>
      </c>
      <c r="J75" s="212"/>
      <c r="K75" s="210"/>
      <c r="L75" s="189">
        <f>SUM(H75:I75)</f>
        <v>34.481400000000001</v>
      </c>
      <c r="M75" s="213">
        <f>SUM(J75:K75)</f>
        <v>0</v>
      </c>
      <c r="N75" s="184"/>
    </row>
    <row r="76" spans="2:14" x14ac:dyDescent="0.25">
      <c r="B76" s="183"/>
      <c r="C76" s="183">
        <v>3</v>
      </c>
      <c r="D76" s="183">
        <v>433</v>
      </c>
      <c r="E76" s="185">
        <v>10.964</v>
      </c>
      <c r="F76" s="195"/>
      <c r="G76" s="184"/>
      <c r="H76" s="201"/>
      <c r="I76" s="201"/>
      <c r="J76" s="207"/>
      <c r="K76" s="207"/>
      <c r="L76" s="195"/>
      <c r="M76" s="184"/>
      <c r="N76" s="184"/>
    </row>
    <row r="77" spans="2:14" x14ac:dyDescent="0.25">
      <c r="B77" s="252"/>
      <c r="C77" s="253"/>
      <c r="D77" s="186">
        <f>SUM(D74:D76)</f>
        <v>2379</v>
      </c>
      <c r="E77" s="190">
        <f>SUM(E74:E76)</f>
        <v>34.481400000000001</v>
      </c>
      <c r="F77" s="186">
        <f>SUM(F74:F76)</f>
        <v>0</v>
      </c>
      <c r="G77" s="190">
        <f>SUM(G74:G76)</f>
        <v>0</v>
      </c>
      <c r="H77" s="204">
        <f>SUM(H75)</f>
        <v>12.4254</v>
      </c>
      <c r="I77" s="204">
        <f>SUM(I75)</f>
        <v>22.056000000000001</v>
      </c>
      <c r="J77" s="211">
        <f t="shared" ref="J77:K77" si="32">SUM(J75)</f>
        <v>0</v>
      </c>
      <c r="K77" s="211">
        <f t="shared" si="32"/>
        <v>0</v>
      </c>
      <c r="L77" s="190">
        <f t="shared" ref="L77:M77" si="33">SUM(L75:L76)</f>
        <v>34.481400000000001</v>
      </c>
      <c r="M77" s="190">
        <f t="shared" si="33"/>
        <v>0</v>
      </c>
      <c r="N77" s="188"/>
    </row>
    <row r="78" spans="2:14" x14ac:dyDescent="0.25">
      <c r="B78" s="183">
        <v>19</v>
      </c>
      <c r="C78" s="183">
        <v>1</v>
      </c>
      <c r="D78" s="183">
        <v>234</v>
      </c>
      <c r="E78" s="185">
        <v>10.637600000000001</v>
      </c>
      <c r="F78" s="195">
        <v>73</v>
      </c>
      <c r="G78" s="213">
        <v>3.048</v>
      </c>
      <c r="H78" s="202">
        <v>1967</v>
      </c>
      <c r="I78" s="202">
        <v>492</v>
      </c>
      <c r="J78" s="209">
        <v>218</v>
      </c>
      <c r="K78" s="209">
        <v>178</v>
      </c>
      <c r="L78" s="185">
        <f>SUM(H78:I78)</f>
        <v>2459</v>
      </c>
      <c r="M78" s="184">
        <f>SUM(J78:K78)</f>
        <v>396</v>
      </c>
      <c r="N78" s="184"/>
    </row>
    <row r="79" spans="2:14" x14ac:dyDescent="0.25">
      <c r="B79" s="183"/>
      <c r="C79" s="183">
        <v>2</v>
      </c>
      <c r="D79" s="183">
        <v>1867</v>
      </c>
      <c r="E79" s="185">
        <v>11.589</v>
      </c>
      <c r="F79" s="195"/>
      <c r="G79" s="184"/>
      <c r="H79" s="205">
        <v>9.3903999999999996</v>
      </c>
      <c r="I79" s="203">
        <v>19.12</v>
      </c>
      <c r="J79" s="212">
        <v>0.83279999999999998</v>
      </c>
      <c r="K79" s="210">
        <v>6.5279999999999996</v>
      </c>
      <c r="L79" s="189">
        <f>SUM(H79:I79)</f>
        <v>28.510400000000001</v>
      </c>
      <c r="M79" s="213">
        <f>SUM(J79:K79)</f>
        <v>7.3607999999999993</v>
      </c>
      <c r="N79" s="184"/>
    </row>
    <row r="80" spans="2:14" x14ac:dyDescent="0.25">
      <c r="B80" s="183"/>
      <c r="C80" s="183">
        <v>3</v>
      </c>
      <c r="D80" s="183">
        <v>358</v>
      </c>
      <c r="E80" s="185">
        <v>6.2838000000000003</v>
      </c>
      <c r="F80" s="195">
        <v>323</v>
      </c>
      <c r="G80" s="184">
        <v>4.3128000000000002</v>
      </c>
      <c r="H80" s="201"/>
      <c r="I80" s="201"/>
      <c r="J80" s="207"/>
      <c r="K80" s="207"/>
      <c r="L80" s="195"/>
      <c r="M80" s="184"/>
      <c r="N80" s="184"/>
    </row>
    <row r="81" spans="2:14" x14ac:dyDescent="0.25">
      <c r="B81" s="252"/>
      <c r="C81" s="253"/>
      <c r="D81" s="186">
        <f>SUM(D78:D80)</f>
        <v>2459</v>
      </c>
      <c r="E81" s="190">
        <f>SUM(E78:E80)</f>
        <v>28.510400000000001</v>
      </c>
      <c r="F81" s="186">
        <f>SUM(F78:F80)</f>
        <v>396</v>
      </c>
      <c r="G81" s="190">
        <f>SUM(G78:G80)</f>
        <v>7.3608000000000002</v>
      </c>
      <c r="H81" s="204">
        <f>SUM(H79)</f>
        <v>9.3903999999999996</v>
      </c>
      <c r="I81" s="204">
        <f>SUM(I79)</f>
        <v>19.12</v>
      </c>
      <c r="J81" s="211">
        <f t="shared" ref="J81:K81" si="34">SUM(J79)</f>
        <v>0.83279999999999998</v>
      </c>
      <c r="K81" s="211">
        <f t="shared" si="34"/>
        <v>6.5279999999999996</v>
      </c>
      <c r="L81" s="190">
        <f t="shared" ref="L81" si="35">SUM(L79:L80)</f>
        <v>28.510400000000001</v>
      </c>
      <c r="M81" s="190">
        <f>SUM(G81)</f>
        <v>7.3608000000000002</v>
      </c>
      <c r="N81" s="188"/>
    </row>
    <row r="82" spans="2:14" x14ac:dyDescent="0.25">
      <c r="B82" s="183">
        <v>20</v>
      </c>
      <c r="C82" s="183">
        <v>1</v>
      </c>
      <c r="D82" s="183">
        <v>647</v>
      </c>
      <c r="E82" s="185">
        <v>12.555899999999999</v>
      </c>
      <c r="F82" s="195">
        <v>38</v>
      </c>
      <c r="G82" s="184">
        <v>0.28439999999999999</v>
      </c>
      <c r="H82" s="202">
        <v>979</v>
      </c>
      <c r="I82" s="202">
        <v>566</v>
      </c>
      <c r="J82" s="209">
        <v>71</v>
      </c>
      <c r="K82" s="209">
        <v>142</v>
      </c>
      <c r="L82" s="185">
        <f>SUM(H82:I82)</f>
        <v>1545</v>
      </c>
      <c r="M82" s="184">
        <f>SUM(J82:K82)</f>
        <v>213</v>
      </c>
      <c r="N82" s="184"/>
    </row>
    <row r="83" spans="2:14" x14ac:dyDescent="0.25">
      <c r="B83" s="183"/>
      <c r="C83" s="183">
        <v>2</v>
      </c>
      <c r="D83" s="183">
        <v>556</v>
      </c>
      <c r="E83" s="185">
        <v>13.325900000000001</v>
      </c>
      <c r="F83" s="195"/>
      <c r="G83" s="184"/>
      <c r="H83" s="205">
        <v>7.1820000000000004</v>
      </c>
      <c r="I83" s="203">
        <v>25.977799999999998</v>
      </c>
      <c r="J83" s="212">
        <v>0.35239999999999999</v>
      </c>
      <c r="K83" s="210">
        <v>4.6689999999999996</v>
      </c>
      <c r="L83" s="189">
        <f>SUM(H83:I83)</f>
        <v>33.159799999999997</v>
      </c>
      <c r="M83" s="213">
        <f>SUM(J83:K83)</f>
        <v>5.0213999999999999</v>
      </c>
      <c r="N83" s="184"/>
    </row>
    <row r="84" spans="2:14" x14ac:dyDescent="0.25">
      <c r="B84" s="183"/>
      <c r="C84" s="183">
        <v>3</v>
      </c>
      <c r="D84" s="183">
        <v>342</v>
      </c>
      <c r="E84" s="185">
        <v>7.2779999999999996</v>
      </c>
      <c r="F84" s="195">
        <v>175</v>
      </c>
      <c r="G84" s="213">
        <v>4.7370000000000001</v>
      </c>
      <c r="H84" s="201"/>
      <c r="I84" s="201"/>
      <c r="J84" s="207"/>
      <c r="K84" s="207"/>
      <c r="L84" s="195"/>
      <c r="M84" s="184"/>
      <c r="N84" s="184"/>
    </row>
    <row r="85" spans="2:14" x14ac:dyDescent="0.25">
      <c r="B85" s="252"/>
      <c r="C85" s="253"/>
      <c r="D85" s="186">
        <f>SUM(D82:D84)</f>
        <v>1545</v>
      </c>
      <c r="E85" s="190">
        <f>SUM(E82:E84)</f>
        <v>33.159799999999997</v>
      </c>
      <c r="F85" s="186">
        <f>SUM(F82:F84)</f>
        <v>213</v>
      </c>
      <c r="G85" s="190">
        <f>SUM(G82:G84)</f>
        <v>5.0213999999999999</v>
      </c>
      <c r="H85" s="204">
        <f>SUM(H83)</f>
        <v>7.1820000000000004</v>
      </c>
      <c r="I85" s="204">
        <f>SUM(I83)</f>
        <v>25.977799999999998</v>
      </c>
      <c r="J85" s="211">
        <f t="shared" ref="J85:K85" si="36">SUM(J83)</f>
        <v>0.35239999999999999</v>
      </c>
      <c r="K85" s="211">
        <f t="shared" si="36"/>
        <v>4.6689999999999996</v>
      </c>
      <c r="L85" s="190">
        <f t="shared" ref="L85" si="37">SUM(L83:L84)</f>
        <v>33.159799999999997</v>
      </c>
      <c r="M85" s="190">
        <f>SUM(G85)</f>
        <v>5.0213999999999999</v>
      </c>
      <c r="N85" s="188"/>
    </row>
    <row r="86" spans="2:14" x14ac:dyDescent="0.25">
      <c r="B86" s="183">
        <v>21</v>
      </c>
      <c r="C86" s="183">
        <v>1</v>
      </c>
      <c r="D86" s="183">
        <v>1183</v>
      </c>
      <c r="E86" s="185">
        <v>13.3231</v>
      </c>
      <c r="F86" s="195"/>
      <c r="G86" s="184"/>
      <c r="H86" s="202">
        <v>1769</v>
      </c>
      <c r="I86" s="202">
        <v>842</v>
      </c>
      <c r="J86" s="209"/>
      <c r="K86" s="209"/>
      <c r="L86" s="185">
        <f>SUM(H86:I86)</f>
        <v>2611</v>
      </c>
      <c r="M86" s="184">
        <f>SUM(J86:K86)</f>
        <v>0</v>
      </c>
      <c r="N86" s="184"/>
    </row>
    <row r="87" spans="2:14" x14ac:dyDescent="0.25">
      <c r="B87" s="183"/>
      <c r="C87" s="183">
        <v>2</v>
      </c>
      <c r="D87" s="183">
        <v>611</v>
      </c>
      <c r="E87" s="185">
        <v>12.3072</v>
      </c>
      <c r="F87" s="184"/>
      <c r="G87" s="184"/>
      <c r="H87" s="205">
        <v>10.596</v>
      </c>
      <c r="I87" s="203">
        <v>27.1005</v>
      </c>
      <c r="J87" s="212"/>
      <c r="K87" s="210"/>
      <c r="L87" s="189">
        <f>SUM(H87:I87)</f>
        <v>37.6965</v>
      </c>
      <c r="M87" s="213">
        <f>SUM(J87:K87)</f>
        <v>0</v>
      </c>
      <c r="N87" s="184"/>
    </row>
    <row r="88" spans="2:14" x14ac:dyDescent="0.25">
      <c r="B88" s="183"/>
      <c r="C88" s="183">
        <v>3</v>
      </c>
      <c r="D88" s="183">
        <v>817</v>
      </c>
      <c r="E88" s="185">
        <v>12.0662</v>
      </c>
      <c r="F88" s="184"/>
      <c r="G88" s="184"/>
      <c r="H88" s="201"/>
      <c r="I88" s="201"/>
      <c r="J88" s="207"/>
      <c r="K88" s="207"/>
      <c r="L88" s="195"/>
      <c r="M88" s="184"/>
      <c r="N88" s="184"/>
    </row>
    <row r="89" spans="2:14" x14ac:dyDescent="0.25">
      <c r="B89" s="252"/>
      <c r="C89" s="253"/>
      <c r="D89" s="186">
        <f>SUM(D86:D88)</f>
        <v>2611</v>
      </c>
      <c r="E89" s="190">
        <f>SUM(E86:E88)</f>
        <v>37.6965</v>
      </c>
      <c r="F89" s="186">
        <f>SUM(F86:F88)</f>
        <v>0</v>
      </c>
      <c r="G89" s="190">
        <f>SUM(G86:G88)</f>
        <v>0</v>
      </c>
      <c r="H89" s="204">
        <f>SUM(H87)</f>
        <v>10.596</v>
      </c>
      <c r="I89" s="204">
        <f>SUM(I87)</f>
        <v>27.1005</v>
      </c>
      <c r="J89" s="211">
        <f t="shared" ref="J89:K89" si="38">SUM(J87)</f>
        <v>0</v>
      </c>
      <c r="K89" s="211">
        <f t="shared" si="38"/>
        <v>0</v>
      </c>
      <c r="L89" s="190">
        <f t="shared" ref="L89:M89" si="39">SUM(L87:L88)</f>
        <v>37.6965</v>
      </c>
      <c r="M89" s="190">
        <f t="shared" si="39"/>
        <v>0</v>
      </c>
      <c r="N89" s="188"/>
    </row>
    <row r="90" spans="2:14" x14ac:dyDescent="0.25">
      <c r="B90" s="195">
        <v>22</v>
      </c>
      <c r="C90" s="195">
        <v>1</v>
      </c>
      <c r="D90" s="195">
        <v>865</v>
      </c>
      <c r="E90" s="185">
        <v>7.9744000000000002</v>
      </c>
      <c r="F90" s="195">
        <v>75</v>
      </c>
      <c r="G90" s="184">
        <v>2.8414999999999999</v>
      </c>
      <c r="H90" s="202">
        <v>1404</v>
      </c>
      <c r="I90" s="202">
        <v>360</v>
      </c>
      <c r="J90" s="209">
        <v>57</v>
      </c>
      <c r="K90" s="209">
        <v>272</v>
      </c>
      <c r="L90" s="185">
        <f>SUM(H90:I90)</f>
        <v>1764</v>
      </c>
      <c r="M90" s="184">
        <f>SUM(J90:K90)</f>
        <v>329</v>
      </c>
      <c r="N90" s="184"/>
    </row>
    <row r="91" spans="2:14" x14ac:dyDescent="0.25">
      <c r="B91" s="195"/>
      <c r="C91" s="195">
        <v>2</v>
      </c>
      <c r="D91" s="195">
        <v>472</v>
      </c>
      <c r="E91" s="185">
        <v>13.160399999999999</v>
      </c>
      <c r="F91" s="195">
        <v>82</v>
      </c>
      <c r="G91" s="184">
        <v>0.94920000000000004</v>
      </c>
      <c r="H91" s="205">
        <v>8.7791999999999994</v>
      </c>
      <c r="I91" s="203">
        <v>16.217600000000001</v>
      </c>
      <c r="J91" s="212">
        <v>0.29520000000000002</v>
      </c>
      <c r="K91" s="210">
        <v>9.7835000000000001</v>
      </c>
      <c r="L91" s="189">
        <f>SUM(H91:I91)</f>
        <v>24.9968</v>
      </c>
      <c r="M91" s="213">
        <f>SUM(J91:K91)</f>
        <v>10.0787</v>
      </c>
      <c r="N91" s="184"/>
    </row>
    <row r="92" spans="2:14" x14ac:dyDescent="0.25">
      <c r="B92" s="195"/>
      <c r="C92" s="195">
        <v>3</v>
      </c>
      <c r="D92" s="195">
        <v>427</v>
      </c>
      <c r="E92" s="185">
        <v>3.8620000000000001</v>
      </c>
      <c r="F92" s="195">
        <v>172</v>
      </c>
      <c r="G92" s="184">
        <v>6.2880000000000003</v>
      </c>
      <c r="H92" s="201"/>
      <c r="I92" s="201"/>
      <c r="J92" s="207"/>
      <c r="K92" s="207"/>
      <c r="L92" s="195"/>
      <c r="M92" s="184"/>
      <c r="N92" s="184"/>
    </row>
    <row r="93" spans="2:14" x14ac:dyDescent="0.25">
      <c r="B93" s="252"/>
      <c r="C93" s="253"/>
      <c r="D93" s="186">
        <f>SUM(D90:D92)</f>
        <v>1764</v>
      </c>
      <c r="E93" s="190">
        <f>SUM(E90:E92)</f>
        <v>24.9968</v>
      </c>
      <c r="F93" s="186">
        <f>SUM(F90:F92)</f>
        <v>329</v>
      </c>
      <c r="G93" s="190">
        <f>SUM(G90:G92)</f>
        <v>10.078700000000001</v>
      </c>
      <c r="H93" s="204">
        <f>SUM(H91)</f>
        <v>8.7791999999999994</v>
      </c>
      <c r="I93" s="204">
        <f>SUM(I91)</f>
        <v>16.217600000000001</v>
      </c>
      <c r="J93" s="211">
        <f t="shared" ref="J93:K93" si="40">SUM(J91)</f>
        <v>0.29520000000000002</v>
      </c>
      <c r="K93" s="211">
        <f t="shared" si="40"/>
        <v>9.7835000000000001</v>
      </c>
      <c r="L93" s="190">
        <f t="shared" ref="L93" si="41">SUM(L91:L92)</f>
        <v>24.9968</v>
      </c>
      <c r="M93" s="190">
        <f>SUM(G93)</f>
        <v>10.078700000000001</v>
      </c>
      <c r="N93" s="188"/>
    </row>
    <row r="94" spans="2:14" x14ac:dyDescent="0.25">
      <c r="B94" s="195">
        <v>23</v>
      </c>
      <c r="C94" s="195">
        <v>1</v>
      </c>
      <c r="D94" s="195">
        <v>805</v>
      </c>
      <c r="E94" s="185">
        <v>11.986800000000001</v>
      </c>
      <c r="F94" s="195"/>
      <c r="G94" s="184"/>
      <c r="H94" s="202">
        <v>1376</v>
      </c>
      <c r="I94" s="202">
        <v>623</v>
      </c>
      <c r="J94" s="209"/>
      <c r="K94" s="209">
        <v>208</v>
      </c>
      <c r="L94" s="185">
        <f>SUM(H94:I94)</f>
        <v>1999</v>
      </c>
      <c r="M94" s="184">
        <f>SUM(J94:K94)</f>
        <v>208</v>
      </c>
      <c r="N94" s="184"/>
    </row>
    <row r="95" spans="2:14" x14ac:dyDescent="0.25">
      <c r="B95" s="195"/>
      <c r="C95" s="195">
        <v>2</v>
      </c>
      <c r="D95" s="195">
        <v>315</v>
      </c>
      <c r="E95" s="185">
        <v>3.8008000000000002</v>
      </c>
      <c r="F95" s="195">
        <v>190</v>
      </c>
      <c r="G95" s="184">
        <v>6.7770000000000001</v>
      </c>
      <c r="H95" s="205">
        <v>8.3065999999999995</v>
      </c>
      <c r="I95" s="203">
        <v>19.359200000000001</v>
      </c>
      <c r="J95" s="212"/>
      <c r="K95" s="210">
        <v>7.0949999999999998</v>
      </c>
      <c r="L95" s="189">
        <f>SUM(H95:I95)</f>
        <v>27.665800000000001</v>
      </c>
      <c r="M95" s="213">
        <f>SUM(J95:K95)</f>
        <v>7.0949999999999998</v>
      </c>
      <c r="N95" s="184"/>
    </row>
    <row r="96" spans="2:14" x14ac:dyDescent="0.25">
      <c r="B96" s="195"/>
      <c r="C96" s="195">
        <v>3</v>
      </c>
      <c r="D96" s="195">
        <v>879</v>
      </c>
      <c r="E96" s="185">
        <v>11.8782</v>
      </c>
      <c r="F96" s="195">
        <v>18</v>
      </c>
      <c r="G96" s="184">
        <v>0.318</v>
      </c>
      <c r="H96" s="201"/>
      <c r="I96" s="201"/>
      <c r="J96" s="207"/>
      <c r="K96" s="207"/>
      <c r="L96" s="195"/>
      <c r="M96" s="184"/>
      <c r="N96" s="184"/>
    </row>
    <row r="97" spans="2:14" x14ac:dyDescent="0.25">
      <c r="B97" s="252"/>
      <c r="C97" s="253"/>
      <c r="D97" s="186">
        <f>SUM(D94:D96)</f>
        <v>1999</v>
      </c>
      <c r="E97" s="190">
        <f>SUM(E94:E96)</f>
        <v>27.665800000000001</v>
      </c>
      <c r="F97" s="186">
        <f>SUM(F94:F96)</f>
        <v>208</v>
      </c>
      <c r="G97" s="190">
        <f>SUM(G94:G96)</f>
        <v>7.0949999999999998</v>
      </c>
      <c r="H97" s="204">
        <f>SUM(H95)</f>
        <v>8.3065999999999995</v>
      </c>
      <c r="I97" s="204">
        <f>SUM(I95)</f>
        <v>19.359200000000001</v>
      </c>
      <c r="J97" s="211">
        <f t="shared" ref="J97:K97" si="42">SUM(J95)</f>
        <v>0</v>
      </c>
      <c r="K97" s="211">
        <f t="shared" si="42"/>
        <v>7.0949999999999998</v>
      </c>
      <c r="L97" s="190">
        <f t="shared" ref="L97" si="43">SUM(L95:L96)</f>
        <v>27.665800000000001</v>
      </c>
      <c r="M97" s="190">
        <f>SUM(G97)</f>
        <v>7.0949999999999998</v>
      </c>
      <c r="N97" s="188"/>
    </row>
    <row r="98" spans="2:14" ht="16.5" thickBot="1" x14ac:dyDescent="0.3">
      <c r="D98" s="214">
        <f>SUM(D97,D93,D89,D85,D81,D77,D73,D69,D65,D61,D57,D53,D49,D45,D41,D37,D33,D29,D25,D21,D17,D13,D9)</f>
        <v>44804</v>
      </c>
      <c r="E98" s="215">
        <f t="shared" ref="E98:F98" si="44">SUM(E97,E93,E89,E85,E81,E77,E73,E69,E65,E61,E57,E53,E49,E45,E41,E37,E33,E29,E25,E21,E17,E13,E9)</f>
        <v>680.67199999999991</v>
      </c>
      <c r="F98" s="214">
        <f t="shared" si="44"/>
        <v>6547</v>
      </c>
      <c r="G98" s="218">
        <f>SUM(G97,G93,G89,G85,G81,G77,G73,G69,G65,G61,G57,G53,G49,G45,G41,G37,G33,G29,G25,G21,G17,G13,G9)</f>
        <v>129.48080000000002</v>
      </c>
      <c r="H98" s="215">
        <f t="shared" ref="H98:M98" si="45">SUM(H97+H93+H89+H85+H81+H77+H73+H69+H65+H61+H57+H53+H49+H45+H41+H37+H33+H29+H25+H21+H17+H13+H9)</f>
        <v>185.48599999999996</v>
      </c>
      <c r="I98" s="217">
        <f t="shared" si="45"/>
        <v>495.18610000000001</v>
      </c>
      <c r="J98" s="215">
        <f t="shared" si="45"/>
        <v>16.3584</v>
      </c>
      <c r="K98" s="217">
        <f t="shared" si="45"/>
        <v>113.12220000000001</v>
      </c>
      <c r="L98" s="215">
        <f t="shared" si="45"/>
        <v>680.6721</v>
      </c>
      <c r="M98" s="215">
        <f t="shared" si="45"/>
        <v>129.48060000000001</v>
      </c>
      <c r="N98" s="216"/>
    </row>
    <row r="99" spans="2:14" ht="16.5" thickTop="1" x14ac:dyDescent="0.25"/>
    <row r="100" spans="2:14" x14ac:dyDescent="0.25">
      <c r="B100" s="222" t="s">
        <v>120</v>
      </c>
    </row>
    <row r="101" spans="2:14" x14ac:dyDescent="0.25">
      <c r="B101" s="181" t="s">
        <v>52</v>
      </c>
      <c r="D101" s="182">
        <f>SUM(D98)</f>
        <v>44804</v>
      </c>
      <c r="E101" s="219">
        <f>SUM(E98)</f>
        <v>680.67199999999991</v>
      </c>
    </row>
    <row r="102" spans="2:14" x14ac:dyDescent="0.25">
      <c r="B102" s="181" t="s">
        <v>53</v>
      </c>
      <c r="D102" s="182">
        <f>SUM(F98)</f>
        <v>6547</v>
      </c>
      <c r="E102" s="219">
        <f>SUM(G98)</f>
        <v>129.48080000000002</v>
      </c>
    </row>
    <row r="103" spans="2:14" ht="16.5" thickBot="1" x14ac:dyDescent="0.3">
      <c r="D103" s="220">
        <f>SUM(D101:D102)</f>
        <v>51351</v>
      </c>
      <c r="E103" s="221">
        <f>SUM(E101:E102)</f>
        <v>810.15279999999996</v>
      </c>
    </row>
    <row r="104" spans="2:14" ht="16.5" thickTop="1" x14ac:dyDescent="0.25"/>
  </sheetData>
  <mergeCells count="34">
    <mergeCell ref="B25:C25"/>
    <mergeCell ref="B29:C29"/>
    <mergeCell ref="B33:C33"/>
    <mergeCell ref="L4:M4"/>
    <mergeCell ref="B3:B5"/>
    <mergeCell ref="C3:C5"/>
    <mergeCell ref="D3:G3"/>
    <mergeCell ref="H3:I3"/>
    <mergeCell ref="J3:K3"/>
    <mergeCell ref="B1:N2"/>
    <mergeCell ref="B9:C9"/>
    <mergeCell ref="B13:C13"/>
    <mergeCell ref="B17:C17"/>
    <mergeCell ref="B21:C21"/>
    <mergeCell ref="L3:M3"/>
    <mergeCell ref="N3:N5"/>
    <mergeCell ref="D4:E4"/>
    <mergeCell ref="F4:G4"/>
    <mergeCell ref="B37:C37"/>
    <mergeCell ref="B41:C41"/>
    <mergeCell ref="B45:C45"/>
    <mergeCell ref="B49:C49"/>
    <mergeCell ref="B53:C53"/>
    <mergeCell ref="B57:C57"/>
    <mergeCell ref="B61:C61"/>
    <mergeCell ref="B65:C65"/>
    <mergeCell ref="B69:C69"/>
    <mergeCell ref="B73:C73"/>
    <mergeCell ref="B97:C97"/>
    <mergeCell ref="B77:C77"/>
    <mergeCell ref="B81:C81"/>
    <mergeCell ref="B85:C85"/>
    <mergeCell ref="B89:C89"/>
    <mergeCell ref="B93:C93"/>
  </mergeCells>
  <phoneticPr fontId="16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MUAT</vt:lpstr>
      <vt:lpstr>Sheet 2</vt:lpstr>
      <vt:lpstr>Sheet1</vt:lpstr>
      <vt:lpstr>REKAP MUAT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2026-08-06T12:25:48Z</dcterms:created>
  <dcterms:modified xsi:type="dcterms:W3CDTF">2026-09-21T03:41:28Z</dcterms:modified>
</cp:coreProperties>
</file>